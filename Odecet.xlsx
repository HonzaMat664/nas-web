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odečet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<sst xmlns="http://schemas.openxmlformats.org/spreadsheetml/2006/main" count="45" uniqueCount="45">
  <si>
    <t>Datum</t>
  </si>
  <si>
    <t>dní</t>
  </si>
  <si>
    <t xml:space="preserve">vysoký T1</t>
  </si>
  <si>
    <t xml:space="preserve">nízký T2</t>
  </si>
  <si>
    <t>VODA</t>
  </si>
  <si>
    <t>vysoký</t>
  </si>
  <si>
    <t>nízký</t>
  </si>
  <si>
    <t>spotřeba</t>
  </si>
  <si>
    <t xml:space="preserve">za den
vysoký</t>
  </si>
  <si>
    <t xml:space="preserve">za den
nízký</t>
  </si>
  <si>
    <t>pozn.</t>
  </si>
  <si>
    <t xml:space="preserve">rok 2020 vysoký 771kWh, nízký 1163kWh, 2MWh/rok=10250 Kč</t>
  </si>
  <si>
    <t xml:space="preserve">průměr
vysoký kW za den</t>
  </si>
  <si>
    <t xml:space="preserve">průměr 
nízký</t>
  </si>
  <si>
    <t xml:space="preserve">29.10.2019 
předávací protokol</t>
  </si>
  <si>
    <t xml:space="preserve">voda asi 2 m3/měsíc</t>
  </si>
  <si>
    <t xml:space="preserve">18,7 MJ/kg, 1 MJ = 0.2778 kWh,1kWh= 3,20/1,60  Kč</t>
  </si>
  <si>
    <t xml:space="preserve">jedna briketa 18,7x2x0,2778=10,38 kWh=12Kč</t>
  </si>
  <si>
    <t xml:space="preserve">HDO povel 155</t>
  </si>
  <si>
    <t xml:space="preserve">výměna vodoměru</t>
  </si>
  <si>
    <t xml:space="preserve">zapnutí bojleru</t>
  </si>
  <si>
    <t xml:space="preserve">Nahřátí bojleru</t>
  </si>
  <si>
    <t xml:space="preserve">rok 2021 vysoký 759kWh, nízký 1205kWh , 1,97MWh/rok</t>
  </si>
  <si>
    <t xml:space="preserve">výpočet 2021</t>
  </si>
  <si>
    <t xml:space="preserve">žumpa 6m3 1100Kč</t>
  </si>
  <si>
    <t xml:space="preserve">odečet voda</t>
  </si>
  <si>
    <t xml:space="preserve">ukončena bohemia</t>
  </si>
  <si>
    <t xml:space="preserve">odečet čez</t>
  </si>
  <si>
    <t xml:space="preserve">žumpa 6m3 1200Kč</t>
  </si>
  <si>
    <t xml:space="preserve">žumpa 6m3 1300Kč</t>
  </si>
  <si>
    <t xml:space="preserve">žumpa 6m3 1320Kč</t>
  </si>
  <si>
    <t xml:space="preserve">voda asi 5,3 m3/měsíc</t>
  </si>
  <si>
    <t xml:space="preserve">SolarPower instalace</t>
  </si>
  <si>
    <t xml:space="preserve">přepnuto na FV</t>
  </si>
  <si>
    <t xml:space="preserve">4 dny mimo</t>
  </si>
  <si>
    <t xml:space="preserve">odečet voda 3.7.</t>
  </si>
  <si>
    <t xml:space="preserve">29.7. odpuštěno asi  1m3</t>
  </si>
  <si>
    <t xml:space="preserve">ohřátí bojleru</t>
  </si>
  <si>
    <t xml:space="preserve">odečet,17.1. odpuštěno asi  0.5m3</t>
  </si>
  <si>
    <t xml:space="preserve">odpuštěno čerpadlo 25min</t>
  </si>
  <si>
    <t xml:space="preserve">zapnuta studna</t>
  </si>
  <si>
    <t xml:space="preserve">žumpa 20min odčerpání</t>
  </si>
  <si>
    <t xml:space="preserve">Odečet voda vs Chrudim</t>
  </si>
  <si>
    <t>9.7.2026</t>
  </si>
  <si>
    <t xml:space="preserve">výměna elektroměru ČEZ AM375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</si>
</sst>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d. m. yyyy"/>
    <numFmt numFmtId="165" formatCode="dd/mm/yyyy"/>
  </numFmts>
  <fonts count="5">
    <font>
      <sz val="10.000000"/>
      <name val="Calibri"/>
    </font>
    <font>
      <sz val="9.000000"/>
      <name val="Calibri"/>
    </font>
    <font>
      <b/>
      <sz val="9.000000"/>
      <name val="Helvetica Neue"/>
    </font>
    <font>
      <sz val="9.000000"/>
      <name val="Helvetica Neue"/>
    </font>
    <font>
      <sz val="9.000000"/>
      <color rgb="FF1331F4"/>
      <name val="Helvetica Neue"/>
    </font>
  </fonts>
  <fills count="15">
    <fill>
      <patternFill patternType="none"/>
    </fill>
    <fill>
      <patternFill patternType="gray125"/>
    </fill>
    <fill>
      <patternFill patternType="solid">
        <fgColor rgb="FFFABF8F"/>
      </patternFill>
    </fill>
    <fill>
      <patternFill patternType="solid">
        <fgColor indexed="53"/>
      </patternFill>
    </fill>
    <fill>
      <patternFill patternType="solid">
        <fgColor rgb="FF7D7119"/>
      </patternFill>
    </fill>
    <fill>
      <patternFill patternType="solid">
        <fgColor indexed="40"/>
      </patternFill>
    </fill>
    <fill>
      <patternFill patternType="solid">
        <fgColor rgb="FFA5A5A5"/>
      </patternFill>
    </fill>
    <fill>
      <patternFill patternType="solid">
        <fgColor indexed="65"/>
      </patternFill>
    </fill>
    <fill>
      <patternFill patternType="solid">
        <fgColor rgb="FF7F7F7F"/>
      </patternFill>
    </fill>
    <fill>
      <patternFill patternType="solid">
        <fgColor rgb="FFFFC000"/>
      </patternFill>
    </fill>
    <fill>
      <patternFill patternType="solid">
        <fgColor indexed="2"/>
      </patternFill>
    </fill>
    <fill>
      <patternFill patternType="solid">
        <fgColor rgb="FFD8D8D8"/>
      </patternFill>
    </fill>
    <fill>
      <patternFill patternType="solid">
        <fgColor rgb="FF92D050"/>
      </patternFill>
    </fill>
    <fill>
      <patternFill patternType="solid">
        <fgColor rgb="FF00B0F0"/>
      </patternFill>
    </fill>
    <fill>
      <patternFill patternType="solid">
        <fgColor indexed="2"/>
        <bgColor indexed="2"/>
      </patternFill>
    </fill>
  </fills>
  <borders count="17">
    <border>
      <left style="none"/>
      <right style="none"/>
      <top style="none"/>
      <bottom style="none"/>
      <diagonal style="none"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 style="none"/>
    </border>
    <border>
      <left style="thin">
        <color indexed="55"/>
      </left>
      <right style="thin">
        <color indexed="55"/>
      </right>
      <top style="none"/>
      <bottom style="none"/>
      <diagonal style="none"/>
    </border>
    <border>
      <left style="thin">
        <color indexed="55"/>
      </left>
      <right style="thin">
        <color indexed="55"/>
      </right>
      <top style="thin">
        <color indexed="55"/>
      </top>
      <bottom style="none"/>
      <diagonal style="none"/>
    </border>
    <border>
      <left style="thin">
        <color indexed="55"/>
      </left>
      <right style="none"/>
      <top style="none"/>
      <bottom style="none"/>
      <diagonal style="none"/>
    </border>
    <border>
      <left style="thin">
        <color indexed="55"/>
      </left>
      <right style="none"/>
      <top style="thin">
        <color indexed="55"/>
      </top>
      <bottom style="thin">
        <color indexed="55"/>
      </bottom>
      <diagonal style="none"/>
    </border>
    <border>
      <left style="none"/>
      <right style="thin">
        <color rgb="FFAAAAAA"/>
      </right>
      <top style="none"/>
      <bottom style="none"/>
      <diagonal style="none"/>
    </border>
    <border>
      <left style="none"/>
      <right style="none"/>
      <top style="none"/>
      <bottom style="thin">
        <color indexed="55"/>
      </bottom>
      <diagonal style="none"/>
    </border>
    <border>
      <left style="none"/>
      <right style="thin">
        <color rgb="FFAAAAAA"/>
      </right>
      <top style="none"/>
      <bottom style="thin">
        <color indexed="55"/>
      </bottom>
      <diagonal style="none"/>
    </border>
    <border>
      <left style="none"/>
      <right style="none"/>
      <top style="thin">
        <color indexed="55"/>
      </top>
      <bottom style="none"/>
      <diagonal style="none"/>
    </border>
    <border>
      <left style="none"/>
      <right style="thin">
        <color rgb="FFAAAAAA"/>
      </right>
      <top style="thin">
        <color indexed="55"/>
      </top>
      <bottom style="none"/>
      <diagonal style="none"/>
    </border>
    <border>
      <left style="thin">
        <color indexed="55"/>
      </left>
      <right style="none"/>
      <top style="thin">
        <color indexed="55"/>
      </top>
      <bottom style="none"/>
      <diagonal style="none"/>
    </border>
    <border>
      <left style="thin">
        <color rgb="FFAAAAAA"/>
      </left>
      <right style="none"/>
      <top style="thin">
        <color indexed="55"/>
      </top>
      <bottom style="none"/>
      <diagonal style="none"/>
    </border>
    <border>
      <left style="thin">
        <color rgb="FFAAAAAA"/>
      </left>
      <right style="none"/>
      <top style="none"/>
      <bottom style="none"/>
      <diagonal style="none"/>
    </border>
    <border>
      <left style="thin">
        <color rgb="FFAAAAAA"/>
      </left>
      <right style="none"/>
      <top style="none"/>
      <bottom style="thin">
        <color rgb="FFAAAAAA"/>
      </bottom>
      <diagonal style="none"/>
    </border>
    <border>
      <left style="none"/>
      <right style="none"/>
      <top style="none"/>
      <bottom style="thin">
        <color rgb="FFAAAAAA"/>
      </bottom>
      <diagonal style="none"/>
    </border>
    <border>
      <left style="none"/>
      <right style="thin">
        <color rgb="FFAAAAAA"/>
      </right>
      <top style="none"/>
      <bottom style="thin">
        <color rgb="FFAAAAAA"/>
      </bottom>
      <diagonal style="none"/>
    </border>
  </borders>
  <cellStyleXfs count="1">
    <xf fontId="0" fillId="0" borderId="0" numFmtId="0" applyNumberFormat="0" applyFont="1" applyFill="0" applyBorder="0" applyProtection="0"/>
  </cellStyleXfs>
  <cellXfs count="63">
    <xf fontId="0" fillId="0" borderId="0" numFmtId="0" xfId="0" applyProtection="0"/>
    <xf fontId="1" fillId="0" borderId="0" numFmtId="0" xfId="0" applyFont="1" applyAlignment="1" applyProtection="0">
      <alignment horizontal="left"/>
    </xf>
    <xf fontId="2" fillId="2" borderId="1" numFmtId="49" xfId="0" applyNumberFormat="1" applyFont="1" applyFill="1" applyBorder="1" applyAlignment="1" applyProtection="0">
      <alignment horizontal="left"/>
    </xf>
    <xf fontId="2" fillId="2" borderId="2" numFmtId="49" xfId="0" applyNumberFormat="1" applyFont="1" applyFill="1" applyBorder="1" applyAlignment="1" applyProtection="0">
      <alignment horizontal="left" wrapText="1"/>
    </xf>
    <xf fontId="2" fillId="3" borderId="1" numFmtId="49" xfId="0" applyNumberFormat="1" applyFont="1" applyFill="1" applyBorder="1" applyAlignment="1" applyProtection="0">
      <alignment horizontal="left"/>
    </xf>
    <xf fontId="2" fillId="4" borderId="1" numFmtId="49" xfId="0" applyNumberFormat="1" applyFont="1" applyFill="1" applyBorder="1" applyAlignment="1" applyProtection="0">
      <alignment horizontal="left"/>
    </xf>
    <xf fontId="2" fillId="5" borderId="1" numFmtId="49" xfId="0" applyNumberFormat="1" applyFont="1" applyFill="1" applyBorder="1" applyAlignment="1" applyProtection="0">
      <alignment horizontal="left"/>
    </xf>
    <xf fontId="2" fillId="3" borderId="3" numFmtId="49" xfId="0" applyNumberFormat="1" applyFont="1" applyFill="1" applyBorder="1" applyAlignment="1" applyProtection="0">
      <alignment horizontal="left"/>
    </xf>
    <xf fontId="2" fillId="4" borderId="3" numFmtId="49" xfId="0" applyNumberFormat="1" applyFont="1" applyFill="1" applyBorder="1" applyAlignment="1" applyProtection="0">
      <alignment horizontal="left"/>
    </xf>
    <xf fontId="2" fillId="5" borderId="2" numFmtId="49" xfId="0" applyNumberFormat="1" applyFont="1" applyFill="1" applyBorder="1" applyAlignment="1" applyProtection="0">
      <alignment horizontal="left"/>
    </xf>
    <xf fontId="2" fillId="6" borderId="4" numFmtId="49" xfId="0" applyNumberFormat="1" applyFont="1" applyFill="1" applyBorder="1" applyAlignment="1" applyProtection="0">
      <alignment horizontal="left" wrapText="1"/>
    </xf>
    <xf fontId="2" fillId="6" borderId="0" numFmtId="49" xfId="0" applyNumberFormat="1" applyFont="1" applyFill="1" applyAlignment="1" applyProtection="0">
      <alignment horizontal="left" wrapText="1"/>
    </xf>
    <xf fontId="2" fillId="7" borderId="0" numFmtId="49" xfId="0" applyNumberFormat="1" applyFont="1" applyFill="1" applyAlignment="1" applyProtection="0">
      <alignment horizontal="left"/>
    </xf>
    <xf fontId="2" fillId="7" borderId="0" numFmtId="49" xfId="0" applyNumberFormat="1" applyFont="1" applyFill="1" applyAlignment="1" applyProtection="0">
      <alignment horizontal="left" wrapText="1"/>
    </xf>
    <xf fontId="2" fillId="8" borderId="0" numFmtId="49" xfId="0" applyNumberFormat="1" applyFont="1" applyFill="1" applyAlignment="1" applyProtection="0">
      <alignment horizontal="left" wrapText="1"/>
    </xf>
    <xf fontId="2" fillId="7" borderId="0" numFmtId="0" xfId="0" applyFont="1" applyFill="1" applyAlignment="1" applyProtection="0">
      <alignment horizontal="left" wrapText="1"/>
    </xf>
    <xf fontId="2" fillId="7" borderId="0" numFmtId="0" xfId="0" applyFont="1" applyFill="1" applyAlignment="1" applyProtection="0">
      <alignment horizontal="left"/>
    </xf>
    <xf fontId="3" fillId="2" borderId="1" numFmtId="49" xfId="0" applyNumberFormat="1" applyFont="1" applyFill="1" applyBorder="1" applyAlignment="1" applyProtection="0">
      <alignment horizontal="left" wrapText="1"/>
    </xf>
    <xf fontId="1" fillId="2" borderId="2" numFmtId="0" xfId="0" applyFont="1" applyFill="1" applyBorder="1" applyAlignment="1" applyProtection="0">
      <alignment horizontal="left"/>
    </xf>
    <xf fontId="3" fillId="9" borderId="1" numFmtId="0" xfId="0" applyFont="1" applyFill="1" applyBorder="1" applyAlignment="1" applyProtection="0">
      <alignment horizontal="left" wrapText="1"/>
    </xf>
    <xf fontId="3" fillId="9" borderId="5" numFmtId="0" xfId="0" applyFont="1" applyFill="1" applyBorder="1" applyAlignment="1" applyProtection="0">
      <alignment horizontal="left" wrapText="1"/>
    </xf>
    <xf fontId="3" fillId="7" borderId="0" numFmtId="0" xfId="0" applyFont="1" applyFill="1" applyAlignment="1" applyProtection="0">
      <alignment horizontal="left" wrapText="1"/>
    </xf>
    <xf fontId="1" fillId="7" borderId="0" numFmtId="0" xfId="0" applyFont="1" applyFill="1" applyAlignment="1" applyProtection="0">
      <alignment horizontal="left"/>
    </xf>
    <xf fontId="3" fillId="7" borderId="0" numFmtId="49" xfId="0" applyNumberFormat="1" applyFont="1" applyFill="1" applyAlignment="1" applyProtection="0">
      <alignment horizontal="left" wrapText="1"/>
    </xf>
    <xf fontId="3" fillId="7" borderId="0" numFmtId="2" xfId="0" applyNumberFormat="1" applyFont="1" applyFill="1" applyAlignment="1" applyProtection="0">
      <alignment horizontal="left" wrapText="1"/>
    </xf>
    <xf fontId="3" fillId="7" borderId="6" numFmtId="0" xfId="0" applyFont="1" applyFill="1" applyBorder="1" applyAlignment="1" applyProtection="0">
      <alignment horizontal="left" wrapText="1"/>
    </xf>
    <xf fontId="3" fillId="2" borderId="1" numFmtId="164" xfId="0" applyNumberFormat="1" applyFont="1" applyFill="1" applyBorder="1" applyAlignment="1" applyProtection="0">
      <alignment horizontal="left" wrapText="1"/>
    </xf>
    <xf fontId="3" fillId="2" borderId="2" numFmtId="0" xfId="0" applyFont="1" applyFill="1" applyBorder="1" applyAlignment="1" applyProtection="0">
      <alignment horizontal="left" wrapText="1"/>
    </xf>
    <xf fontId="1" fillId="7" borderId="2" numFmtId="0" xfId="0" applyFont="1" applyFill="1" applyBorder="1" applyAlignment="1" applyProtection="0">
      <alignment horizontal="left"/>
    </xf>
    <xf fontId="3" fillId="9" borderId="0" numFmtId="2" xfId="0" applyNumberFormat="1" applyFont="1" applyFill="1" applyAlignment="1" applyProtection="0">
      <alignment horizontal="left" wrapText="1"/>
    </xf>
    <xf fontId="3" fillId="10" borderId="5" numFmtId="0" xfId="0" applyFont="1" applyFill="1" applyBorder="1" applyAlignment="1" applyProtection="0">
      <alignment horizontal="left" wrapText="1"/>
    </xf>
    <xf fontId="3" fillId="10" borderId="0" numFmtId="49" xfId="0" applyNumberFormat="1" applyFont="1" applyFill="1" applyAlignment="1" applyProtection="0">
      <alignment horizontal="left" wrapText="1"/>
    </xf>
    <xf fontId="3" fillId="11" borderId="0" numFmtId="0" xfId="0" applyFont="1" applyFill="1" applyAlignment="1" applyProtection="0">
      <alignment horizontal="left" wrapText="1"/>
    </xf>
    <xf fontId="3" fillId="11" borderId="0" numFmtId="49" xfId="0" applyNumberFormat="1" applyFont="1" applyFill="1" applyAlignment="1" applyProtection="0">
      <alignment horizontal="left" wrapText="1"/>
    </xf>
    <xf fontId="3" fillId="7" borderId="0" numFmtId="0" xfId="0" applyFont="1" applyFill="1" applyAlignment="1" applyProtection="0">
      <alignment horizontal="left"/>
    </xf>
    <xf fontId="3" fillId="2" borderId="0" numFmtId="49" xfId="0" applyNumberFormat="1" applyFont="1" applyFill="1" applyAlignment="1" applyProtection="0">
      <alignment horizontal="left" wrapText="1"/>
    </xf>
    <xf fontId="3" fillId="12" borderId="5" numFmtId="0" xfId="0" applyFont="1" applyFill="1" applyBorder="1" applyAlignment="1" applyProtection="0">
      <alignment horizontal="left" wrapText="1"/>
    </xf>
    <xf fontId="3" fillId="12" borderId="0" numFmtId="49" xfId="0" applyNumberFormat="1" applyFont="1" applyFill="1" applyAlignment="1" applyProtection="0">
      <alignment horizontal="left" wrapText="1"/>
    </xf>
    <xf fontId="3" fillId="7" borderId="7" numFmtId="0" xfId="0" applyFont="1" applyFill="1" applyBorder="1" applyAlignment="1" applyProtection="0">
      <alignment horizontal="left" wrapText="1"/>
    </xf>
    <xf fontId="3" fillId="7" borderId="7" numFmtId="0" xfId="0" applyFont="1" applyFill="1" applyBorder="1" applyAlignment="1" applyProtection="0">
      <alignment horizontal="left"/>
    </xf>
    <xf fontId="3" fillId="7" borderId="8" numFmtId="0" xfId="0" applyFont="1" applyFill="1" applyBorder="1" applyAlignment="1" applyProtection="0">
      <alignment horizontal="left" wrapText="1"/>
    </xf>
    <xf fontId="3" fillId="7" borderId="9" numFmtId="0" xfId="0" applyFont="1" applyFill="1" applyBorder="1" applyAlignment="1" applyProtection="0">
      <alignment horizontal="left" wrapText="1"/>
    </xf>
    <xf fontId="3" fillId="7" borderId="9" numFmtId="0" xfId="0" applyFont="1" applyFill="1" applyBorder="1" applyAlignment="1" applyProtection="0">
      <alignment horizontal="left"/>
    </xf>
    <xf fontId="3" fillId="7" borderId="10" numFmtId="0" xfId="0" applyFont="1" applyFill="1" applyBorder="1" applyAlignment="1" applyProtection="0">
      <alignment horizontal="left" wrapText="1"/>
    </xf>
    <xf fontId="3" fillId="7" borderId="7" numFmtId="49" xfId="0" applyNumberFormat="1" applyFont="1" applyFill="1" applyBorder="1" applyAlignment="1" applyProtection="0">
      <alignment horizontal="left" wrapText="1"/>
    </xf>
    <xf fontId="3" fillId="2" borderId="9" numFmtId="49" xfId="0" applyNumberFormat="1" applyFont="1" applyFill="1" applyBorder="1" applyAlignment="1" applyProtection="0">
      <alignment horizontal="left" wrapText="1"/>
    </xf>
    <xf fontId="3" fillId="7" borderId="0" numFmtId="11" xfId="0" applyNumberFormat="1" applyFont="1" applyFill="1" applyAlignment="1" applyProtection="0">
      <alignment horizontal="left"/>
    </xf>
    <xf fontId="3" fillId="8" borderId="5" numFmtId="0" xfId="0" applyFont="1" applyFill="1" applyBorder="1" applyAlignment="1" applyProtection="0">
      <alignment horizontal="left" wrapText="1"/>
    </xf>
    <xf fontId="3" fillId="9" borderId="3" numFmtId="0" xfId="0" applyFont="1" applyFill="1" applyBorder="1" applyAlignment="1" applyProtection="0">
      <alignment horizontal="left" wrapText="1"/>
    </xf>
    <xf fontId="3" fillId="9" borderId="11" numFmtId="0" xfId="0" applyFont="1" applyFill="1" applyBorder="1" applyAlignment="1" applyProtection="0">
      <alignment horizontal="left" wrapText="1"/>
    </xf>
    <xf fontId="3" fillId="7" borderId="12" numFmtId="164" xfId="0" applyNumberFormat="1" applyFont="1" applyFill="1" applyBorder="1" applyAlignment="1" applyProtection="0">
      <alignment horizontal="left" wrapText="1"/>
    </xf>
    <xf fontId="3" fillId="13" borderId="0" numFmtId="49" xfId="0" applyNumberFormat="1" applyFont="1" applyFill="1" applyAlignment="1" applyProtection="0">
      <alignment horizontal="left" wrapText="1"/>
    </xf>
    <xf fontId="3" fillId="7" borderId="13" numFmtId="164" xfId="0" applyNumberFormat="1" applyFont="1" applyFill="1" applyBorder="1" applyAlignment="1" applyProtection="0">
      <alignment horizontal="left" wrapText="1"/>
    </xf>
    <xf fontId="4" fillId="7" borderId="13" numFmtId="164" xfId="0" applyNumberFormat="1" applyFont="1" applyFill="1" applyBorder="1" applyAlignment="1" applyProtection="0">
      <alignment horizontal="left" readingOrder="1" wrapText="1"/>
    </xf>
    <xf fontId="3" fillId="7" borderId="0" numFmtId="0" xfId="0" applyFont="1" applyFill="1" applyAlignment="1" applyProtection="0">
      <alignment horizontal="left" readingOrder="1" wrapText="1"/>
    </xf>
    <xf fontId="3" fillId="7" borderId="0" numFmtId="49" xfId="0" applyNumberFormat="1" applyFont="1" applyFill="1" applyAlignment="1" applyProtection="0">
      <alignment horizontal="left" readingOrder="1" wrapText="1"/>
    </xf>
    <xf fontId="3" fillId="7" borderId="13" numFmtId="0" xfId="0" applyFont="1" applyFill="1" applyBorder="1" applyAlignment="1" applyProtection="0">
      <alignment horizontal="left" wrapText="1"/>
    </xf>
    <xf fontId="3" fillId="14" borderId="0" numFmtId="0" xfId="0" applyFont="1" applyFill="1" applyAlignment="1" applyProtection="0">
      <alignment horizontal="left" wrapText="1"/>
    </xf>
    <xf fontId="3" fillId="7" borderId="13" numFmtId="165" xfId="0" applyNumberFormat="1" applyFont="1" applyFill="1" applyBorder="1" applyAlignment="1" applyProtection="0">
      <alignment horizontal="left" wrapText="1"/>
    </xf>
    <xf fontId="3" fillId="7" borderId="14" numFmtId="0" xfId="0" applyFont="1" applyFill="1" applyBorder="1" applyAlignment="1" applyProtection="0">
      <alignment horizontal="left" wrapText="1"/>
    </xf>
    <xf fontId="3" fillId="7" borderId="15" numFmtId="0" xfId="0" applyFont="1" applyFill="1" applyBorder="1" applyAlignment="1" applyProtection="0">
      <alignment horizontal="left" wrapText="1"/>
    </xf>
    <xf fontId="3" fillId="7" borderId="15" numFmtId="0" xfId="0" applyFont="1" applyFill="1" applyBorder="1" applyAlignment="1" applyProtection="0">
      <alignment horizontal="left"/>
    </xf>
    <xf fontId="3" fillId="7" borderId="16" numFmtId="0" xfId="0" applyFont="1" applyFill="1" applyBorder="1" applyAlignment="1" applyProtection="0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>
        <a:prstGeom prst="rect">
          <a:avLst/>
        </a:prstGeom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</a:spPr>
      <a:bodyPr/>
      <a:lstStyle/>
      <a:style>
        <a:lnRef idx="0"/>
        <a:fillRef idx="0"/>
        <a:effectRef idx="0"/>
        <a:fontRef idx="none"/>
      </a:style>
    </a:spDef>
    <a:lnDef>
      <a:spPr bwMode="auto">
        <a:prstGeom prst="rect">
          <a:avLst/>
        </a:prstGeom>
        <a:noFill/>
        <a:ln w="12700" cap="flat">
          <a:solidFill>
            <a:schemeClr val="accent1"/>
          </a:solidFill>
          <a:prstDash val="solid"/>
          <a:miter lim="800000"/>
        </a:ln>
        <a:effectLst/>
      </a:spPr>
      <a:bodyPr/>
      <a:lstStyle/>
      <a:style>
        <a:lnRef idx="0"/>
        <a:fillRef idx="0"/>
        <a:effectRef idx="0"/>
        <a:fontRef idx="none"/>
      </a:style>
    </a:lnDef>
    <a:txDef>
      <a:spPr bwMode="auto">
        <a:prstGeom prst="rect">
          <a:avLst/>
        </a:prstGeom>
        <a:noFill/>
        <a:ln w="12700" cap="flat">
          <a:noFill/>
          <a:miter lim="400000"/>
        </a:ln>
        <a:effectLst/>
      </a:spPr>
      <a:bodyPr/>
      <a:lstStyle/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topLeftCell="A1" zoomScale="100" workbookViewId="0">
      <pane ySplit="1" topLeftCell="A2" activePane="bottomLeft" state="frozen"/>
      <selection activeCell="A1" activeCellId="0" sqref="A1"/>
    </sheetView>
  </sheetViews>
  <sheetFormatPr defaultColWidth="14.4" defaultRowHeight="15" customHeight="1"/>
  <cols>
    <col customWidth="1" min="1" max="1" style="1" width="13.601599999999999"/>
    <col customWidth="1" min="2" max="2" style="1" width="6.2109399999999999"/>
    <col customWidth="1" min="3" max="3" style="1" width="10"/>
    <col customWidth="1" min="4" max="4" style="1" width="8.8125"/>
    <col customWidth="1" min="5" max="5" style="1" width="6.4218799999999998"/>
    <col customWidth="1" min="6" max="8" style="1" width="7.2109399999999999"/>
    <col customWidth="1" min="9" max="12" style="1" width="10"/>
    <col customWidth="1" min="13" max="13" style="1" width="29.8125"/>
    <col customWidth="1" min="14" max="14" style="1" width="14.8125"/>
    <col customWidth="1" min="15" max="28" style="1" width="16.210899999999999"/>
    <col customWidth="1" min="29" max="16384" style="1" width="14.421900000000001"/>
  </cols>
  <sheetData>
    <row r="1" ht="39" customHeight="1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7" t="s">
        <v>5</v>
      </c>
      <c r="G1" s="8" t="s">
        <v>6</v>
      </c>
      <c r="H1" s="9" t="s">
        <v>7</v>
      </c>
      <c r="I1" s="10" t="s">
        <v>8</v>
      </c>
      <c r="J1" s="11" t="s">
        <v>9</v>
      </c>
      <c r="K1" s="11"/>
      <c r="L1" s="11"/>
      <c r="M1" s="12" t="s">
        <v>10</v>
      </c>
      <c r="N1" s="13" t="s">
        <v>11</v>
      </c>
      <c r="O1" s="14" t="s">
        <v>12</v>
      </c>
      <c r="P1" s="14" t="s">
        <v>13</v>
      </c>
      <c r="Q1" s="15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</row>
    <row r="2" ht="19.5" customHeight="1">
      <c r="A2" s="17" t="s">
        <v>14</v>
      </c>
      <c r="B2" s="18"/>
      <c r="C2" s="19">
        <v>2281</v>
      </c>
      <c r="D2" s="19">
        <v>4659</v>
      </c>
      <c r="E2" s="20">
        <v>84</v>
      </c>
      <c r="F2" s="21"/>
      <c r="G2" s="21"/>
      <c r="H2" s="21"/>
      <c r="I2" s="22"/>
      <c r="J2" s="21"/>
      <c r="K2" s="21"/>
      <c r="L2" s="21"/>
      <c r="M2" s="21"/>
      <c r="N2" s="23" t="s">
        <v>15</v>
      </c>
      <c r="O2" s="24">
        <f>AVERAGE(I4:I35)</f>
        <v>2.2153550094980945</v>
      </c>
      <c r="P2" s="24">
        <f>AVERAGE(J4:J35)</f>
        <v>3.5590515497060644</v>
      </c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5"/>
    </row>
    <row r="3" ht="19.5" customHeight="1">
      <c r="A3" s="26">
        <v>43773</v>
      </c>
      <c r="B3" s="27"/>
      <c r="C3" s="19">
        <v>2286</v>
      </c>
      <c r="D3" s="19">
        <v>4686</v>
      </c>
      <c r="E3" s="20">
        <v>85</v>
      </c>
      <c r="F3" s="21">
        <f t="shared" ref="F3:F9" si="0">IF(C3&gt;0,C3-C2,0)</f>
        <v>5</v>
      </c>
      <c r="G3" s="21">
        <f t="shared" ref="G3:G9" si="1">IF(D3&gt;0,D3-D2,0)</f>
        <v>27</v>
      </c>
      <c r="H3" s="21">
        <f t="shared" ref="H3:H9" si="2">IF(E3&gt;0,E3-E2,0)</f>
        <v>1</v>
      </c>
      <c r="I3" s="22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5"/>
    </row>
    <row r="4" ht="19.5" customHeight="1">
      <c r="A4" s="26">
        <v>43783</v>
      </c>
      <c r="B4" s="28">
        <f t="shared" ref="B4:B9" si="3">A4-A3</f>
        <v>10</v>
      </c>
      <c r="C4" s="19">
        <v>2309</v>
      </c>
      <c r="D4" s="19">
        <v>4724</v>
      </c>
      <c r="E4" s="20">
        <v>86</v>
      </c>
      <c r="F4" s="21">
        <f t="shared" si="0"/>
        <v>23</v>
      </c>
      <c r="G4" s="21">
        <f t="shared" si="1"/>
        <v>38</v>
      </c>
      <c r="H4" s="21">
        <f t="shared" si="2"/>
        <v>1</v>
      </c>
      <c r="I4" s="29">
        <f t="shared" ref="I4:I9" si="4">(F4/B4)</f>
        <v>2.2999999999999998</v>
      </c>
      <c r="J4" s="29">
        <f t="shared" ref="J4:J9" si="5">(G4/B4)</f>
        <v>3.7999999999999998</v>
      </c>
      <c r="K4" s="29"/>
      <c r="L4" s="29"/>
      <c r="M4" s="21"/>
      <c r="N4" s="23" t="s">
        <v>16</v>
      </c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5"/>
    </row>
    <row r="5" ht="19.5" customHeight="1">
      <c r="A5" s="26">
        <v>43833</v>
      </c>
      <c r="B5" s="28">
        <f t="shared" si="3"/>
        <v>50</v>
      </c>
      <c r="C5" s="19">
        <v>2423</v>
      </c>
      <c r="D5" s="19">
        <v>4886</v>
      </c>
      <c r="E5" s="20">
        <v>87</v>
      </c>
      <c r="F5" s="21">
        <f t="shared" si="0"/>
        <v>114</v>
      </c>
      <c r="G5" s="21">
        <f t="shared" si="1"/>
        <v>162</v>
      </c>
      <c r="H5" s="21">
        <f t="shared" si="2"/>
        <v>1</v>
      </c>
      <c r="I5" s="29">
        <f t="shared" si="4"/>
        <v>2.2799999999999998</v>
      </c>
      <c r="J5" s="29">
        <f t="shared" si="5"/>
        <v>3.2400000000000002</v>
      </c>
      <c r="K5" s="29"/>
      <c r="L5" s="29"/>
      <c r="M5" s="21"/>
      <c r="N5" s="23" t="s">
        <v>17</v>
      </c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5"/>
    </row>
    <row r="6" ht="19.5" customHeight="1">
      <c r="A6" s="26">
        <v>43878</v>
      </c>
      <c r="B6" s="28">
        <f t="shared" si="3"/>
        <v>45</v>
      </c>
      <c r="C6" s="19">
        <v>2511</v>
      </c>
      <c r="D6" s="19">
        <v>5013</v>
      </c>
      <c r="E6" s="20">
        <v>88</v>
      </c>
      <c r="F6" s="21">
        <f t="shared" si="0"/>
        <v>88</v>
      </c>
      <c r="G6" s="21">
        <f t="shared" si="1"/>
        <v>127</v>
      </c>
      <c r="H6" s="21">
        <f t="shared" si="2"/>
        <v>1</v>
      </c>
      <c r="I6" s="29">
        <f t="shared" si="4"/>
        <v>1.9555555555555555</v>
      </c>
      <c r="J6" s="29">
        <f t="shared" si="5"/>
        <v>2.8222222222222224</v>
      </c>
      <c r="K6" s="29"/>
      <c r="L6" s="29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5"/>
    </row>
    <row r="7" ht="19.5" customHeight="1">
      <c r="A7" s="26">
        <v>43924</v>
      </c>
      <c r="B7" s="28">
        <f t="shared" si="3"/>
        <v>46</v>
      </c>
      <c r="C7" s="19">
        <v>2631</v>
      </c>
      <c r="D7" s="19">
        <v>5184</v>
      </c>
      <c r="E7" s="20">
        <v>92</v>
      </c>
      <c r="F7" s="21">
        <f t="shared" si="0"/>
        <v>120</v>
      </c>
      <c r="G7" s="21">
        <f t="shared" si="1"/>
        <v>171</v>
      </c>
      <c r="H7" s="21">
        <f t="shared" si="2"/>
        <v>4</v>
      </c>
      <c r="I7" s="29">
        <f t="shared" si="4"/>
        <v>2.6086956521739131</v>
      </c>
      <c r="J7" s="29">
        <f t="shared" si="5"/>
        <v>3.7173913043478262</v>
      </c>
      <c r="K7" s="29"/>
      <c r="L7" s="29"/>
      <c r="M7" s="21"/>
      <c r="N7" s="23" t="s">
        <v>18</v>
      </c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5"/>
    </row>
    <row r="8" ht="19.5" customHeight="1">
      <c r="A8" s="26">
        <v>43950</v>
      </c>
      <c r="B8" s="28">
        <f t="shared" si="3"/>
        <v>26</v>
      </c>
      <c r="C8" s="19">
        <v>2702</v>
      </c>
      <c r="D8" s="19">
        <v>5303</v>
      </c>
      <c r="E8" s="20">
        <v>96</v>
      </c>
      <c r="F8" s="21">
        <f t="shared" si="0"/>
        <v>71</v>
      </c>
      <c r="G8" s="21">
        <f t="shared" si="1"/>
        <v>119</v>
      </c>
      <c r="H8" s="21">
        <f t="shared" si="2"/>
        <v>4</v>
      </c>
      <c r="I8" s="29">
        <f t="shared" si="4"/>
        <v>2.7307692307692308</v>
      </c>
      <c r="J8" s="29">
        <f t="shared" si="5"/>
        <v>4.5769230769230766</v>
      </c>
      <c r="K8" s="29"/>
      <c r="L8" s="29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5"/>
    </row>
    <row r="9" ht="19.5" customHeight="1">
      <c r="A9" s="26">
        <v>43983</v>
      </c>
      <c r="B9" s="28">
        <f t="shared" si="3"/>
        <v>33</v>
      </c>
      <c r="C9" s="19">
        <v>2784</v>
      </c>
      <c r="D9" s="19">
        <v>5443</v>
      </c>
      <c r="E9" s="20">
        <v>100</v>
      </c>
      <c r="F9" s="21">
        <f t="shared" si="0"/>
        <v>82</v>
      </c>
      <c r="G9" s="21">
        <f t="shared" si="1"/>
        <v>140</v>
      </c>
      <c r="H9" s="21">
        <f t="shared" si="2"/>
        <v>4</v>
      </c>
      <c r="I9" s="29">
        <f t="shared" si="4"/>
        <v>2.4848484848484849</v>
      </c>
      <c r="J9" s="29">
        <f t="shared" si="5"/>
        <v>4.2424242424242422</v>
      </c>
      <c r="K9" s="29"/>
      <c r="L9" s="29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5"/>
    </row>
    <row r="10" ht="19.5" customHeight="1">
      <c r="A10" s="26">
        <v>44026</v>
      </c>
      <c r="B10" s="28">
        <f>A10-A9</f>
        <v>43</v>
      </c>
      <c r="C10" s="19">
        <v>2784</v>
      </c>
      <c r="D10" s="19">
        <v>5443</v>
      </c>
      <c r="E10" s="20">
        <v>102</v>
      </c>
      <c r="F10" s="21">
        <f>IF(C10&gt;0,C10-C9,0)</f>
        <v>0</v>
      </c>
      <c r="G10" s="21">
        <f>IF(D10&gt;0,D10-D9,0)</f>
        <v>0</v>
      </c>
      <c r="H10" s="21">
        <f>IF(E10&gt;0,E10-E9,0)</f>
        <v>2</v>
      </c>
      <c r="I10" s="29">
        <f t="shared" ref="I10:I46" si="6">(F10/B10)</f>
        <v>0</v>
      </c>
      <c r="J10" s="29">
        <f t="shared" ref="J10:J51" si="7">(G10/B10)</f>
        <v>0</v>
      </c>
      <c r="K10" s="29"/>
      <c r="L10" s="29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5"/>
    </row>
    <row r="11" ht="19.5" customHeight="1">
      <c r="A11" s="26">
        <v>44027</v>
      </c>
      <c r="B11" s="28">
        <f t="shared" ref="B11:B55" si="8">A11-A10</f>
        <v>1</v>
      </c>
      <c r="C11" s="19">
        <v>2785</v>
      </c>
      <c r="D11" s="19">
        <v>5444</v>
      </c>
      <c r="E11" s="30">
        <v>0</v>
      </c>
      <c r="F11" s="21">
        <f t="shared" ref="F11:F55" si="9">IF(C11&gt;0,C11-C10,0)</f>
        <v>1</v>
      </c>
      <c r="G11" s="21">
        <f t="shared" ref="G11:G55" si="10">IF(D11&gt;0,D11-D10,0)</f>
        <v>1</v>
      </c>
      <c r="H11" s="21">
        <f t="shared" ref="H11:H55" si="11">IF(E11&gt;0,E11-E10,0)</f>
        <v>0</v>
      </c>
      <c r="I11" s="29">
        <f t="shared" si="6"/>
        <v>1</v>
      </c>
      <c r="J11" s="29">
        <f t="shared" si="7"/>
        <v>1</v>
      </c>
      <c r="K11" s="29"/>
      <c r="L11" s="29"/>
      <c r="M11" s="31" t="s">
        <v>19</v>
      </c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5"/>
    </row>
    <row r="12" ht="19.5" customHeight="1">
      <c r="A12" s="26">
        <v>44034</v>
      </c>
      <c r="B12" s="28">
        <f t="shared" si="8"/>
        <v>7</v>
      </c>
      <c r="C12" s="19">
        <v>2868</v>
      </c>
      <c r="D12" s="19">
        <v>5522</v>
      </c>
      <c r="E12" s="20">
        <v>0</v>
      </c>
      <c r="F12" s="21">
        <f t="shared" si="9"/>
        <v>83</v>
      </c>
      <c r="G12" s="21">
        <f t="shared" si="10"/>
        <v>78</v>
      </c>
      <c r="H12" s="21">
        <f t="shared" si="11"/>
        <v>0</v>
      </c>
      <c r="I12" s="29">
        <f t="shared" si="6"/>
        <v>11.857142857142858</v>
      </c>
      <c r="J12" s="29">
        <f t="shared" si="7"/>
        <v>11.142857142857142</v>
      </c>
      <c r="K12" s="29"/>
      <c r="L12" s="29"/>
      <c r="M12" s="23" t="s">
        <v>20</v>
      </c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5"/>
    </row>
    <row r="13" ht="19.5" customHeight="1">
      <c r="A13" s="26">
        <v>44035</v>
      </c>
      <c r="B13" s="28">
        <f t="shared" si="8"/>
        <v>1</v>
      </c>
      <c r="C13" s="19">
        <v>2869</v>
      </c>
      <c r="D13" s="19">
        <v>5533</v>
      </c>
      <c r="E13" s="20"/>
      <c r="F13" s="21">
        <f t="shared" si="9"/>
        <v>1</v>
      </c>
      <c r="G13" s="21">
        <f t="shared" si="10"/>
        <v>11</v>
      </c>
      <c r="H13" s="21">
        <f t="shared" si="11"/>
        <v>0</v>
      </c>
      <c r="I13" s="29">
        <f t="shared" si="6"/>
        <v>1</v>
      </c>
      <c r="J13" s="29">
        <f t="shared" si="7"/>
        <v>11</v>
      </c>
      <c r="K13" s="29"/>
      <c r="L13" s="29"/>
      <c r="M13" s="23" t="s">
        <v>21</v>
      </c>
      <c r="N13" s="23" t="s">
        <v>22</v>
      </c>
      <c r="O13" s="32"/>
      <c r="P13" s="33" t="s">
        <v>23</v>
      </c>
      <c r="Q13" s="32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5"/>
    </row>
    <row r="14" ht="19.5" customHeight="1">
      <c r="A14" s="26">
        <v>44211</v>
      </c>
      <c r="B14" s="28">
        <f t="shared" si="8"/>
        <v>176</v>
      </c>
      <c r="C14" s="19">
        <v>3207</v>
      </c>
      <c r="D14" s="19">
        <v>6069</v>
      </c>
      <c r="E14" s="20">
        <v>12</v>
      </c>
      <c r="F14" s="21">
        <f t="shared" si="9"/>
        <v>338</v>
      </c>
      <c r="G14" s="21">
        <f t="shared" si="10"/>
        <v>536</v>
      </c>
      <c r="H14" s="21">
        <f t="shared" si="11"/>
        <v>12</v>
      </c>
      <c r="I14" s="29">
        <f t="shared" si="6"/>
        <v>1.9204545454545454</v>
      </c>
      <c r="J14" s="29">
        <f t="shared" si="7"/>
        <v>3.0454545454545454</v>
      </c>
      <c r="K14" s="29"/>
      <c r="L14" s="29"/>
      <c r="M14" s="21"/>
      <c r="N14" s="21"/>
      <c r="O14" s="32">
        <v>3966</v>
      </c>
      <c r="P14" s="32">
        <v>7274</v>
      </c>
      <c r="Q14" s="32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5"/>
    </row>
    <row r="15" ht="19.5" customHeight="1">
      <c r="A15" s="26">
        <v>44216</v>
      </c>
      <c r="B15" s="28">
        <f t="shared" si="8"/>
        <v>5</v>
      </c>
      <c r="C15" s="19">
        <v>3214</v>
      </c>
      <c r="D15" s="19">
        <v>6084</v>
      </c>
      <c r="E15" s="20">
        <v>12</v>
      </c>
      <c r="F15" s="21">
        <f t="shared" si="9"/>
        <v>7</v>
      </c>
      <c r="G15" s="21">
        <f t="shared" si="10"/>
        <v>15</v>
      </c>
      <c r="H15" s="21">
        <f t="shared" si="11"/>
        <v>0</v>
      </c>
      <c r="I15" s="29">
        <f t="shared" si="6"/>
        <v>1.3999999999999999</v>
      </c>
      <c r="J15" s="29">
        <f t="shared" si="7"/>
        <v>3</v>
      </c>
      <c r="K15" s="29"/>
      <c r="L15" s="29"/>
      <c r="M15" s="21"/>
      <c r="N15" s="21"/>
      <c r="O15" s="32">
        <v>3207</v>
      </c>
      <c r="P15" s="32">
        <v>6069</v>
      </c>
      <c r="Q15" s="3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5"/>
    </row>
    <row r="16" ht="19.5" customHeight="1">
      <c r="A16" s="26">
        <v>44217</v>
      </c>
      <c r="B16" s="28">
        <f t="shared" si="8"/>
        <v>1</v>
      </c>
      <c r="C16" s="19">
        <v>3218</v>
      </c>
      <c r="D16" s="19">
        <v>6087</v>
      </c>
      <c r="E16" s="20">
        <v>12</v>
      </c>
      <c r="F16" s="21">
        <f t="shared" si="9"/>
        <v>4</v>
      </c>
      <c r="G16" s="21">
        <f t="shared" si="10"/>
        <v>3</v>
      </c>
      <c r="H16" s="21">
        <f t="shared" si="11"/>
        <v>0</v>
      </c>
      <c r="I16" s="29">
        <f t="shared" si="6"/>
        <v>4</v>
      </c>
      <c r="J16" s="29">
        <f t="shared" si="7"/>
        <v>3</v>
      </c>
      <c r="K16" s="29"/>
      <c r="L16" s="29"/>
      <c r="M16" s="21"/>
      <c r="N16" s="21"/>
      <c r="O16" s="32">
        <f>SUM(O14-O15)</f>
        <v>759</v>
      </c>
      <c r="P16" s="32">
        <f>SUM(P14-P15)</f>
        <v>1205</v>
      </c>
      <c r="Q16" s="32">
        <f>SUM(O16:P16)</f>
        <v>1964</v>
      </c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5"/>
    </row>
    <row r="17" ht="19.5" customHeight="1">
      <c r="A17" s="26">
        <v>44218</v>
      </c>
      <c r="B17" s="28">
        <f t="shared" si="8"/>
        <v>1</v>
      </c>
      <c r="C17" s="19">
        <v>3219</v>
      </c>
      <c r="D17" s="19">
        <v>6091</v>
      </c>
      <c r="E17" s="20">
        <v>12</v>
      </c>
      <c r="F17" s="21">
        <f t="shared" si="9"/>
        <v>1</v>
      </c>
      <c r="G17" s="21">
        <f t="shared" si="10"/>
        <v>4</v>
      </c>
      <c r="H17" s="21">
        <f t="shared" si="11"/>
        <v>0</v>
      </c>
      <c r="I17" s="29">
        <f t="shared" si="6"/>
        <v>1</v>
      </c>
      <c r="J17" s="29">
        <f t="shared" si="7"/>
        <v>4</v>
      </c>
      <c r="K17" s="29"/>
      <c r="L17" s="29"/>
      <c r="M17" s="21"/>
      <c r="N17" s="34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5"/>
    </row>
    <row r="18" ht="19.5" customHeight="1">
      <c r="A18" s="26">
        <v>44256</v>
      </c>
      <c r="B18" s="28">
        <f t="shared" si="8"/>
        <v>38</v>
      </c>
      <c r="C18" s="19">
        <v>3312</v>
      </c>
      <c r="D18" s="19">
        <v>6234</v>
      </c>
      <c r="E18" s="20">
        <v>15</v>
      </c>
      <c r="F18" s="21">
        <f t="shared" si="9"/>
        <v>93</v>
      </c>
      <c r="G18" s="21">
        <f t="shared" si="10"/>
        <v>143</v>
      </c>
      <c r="H18" s="21">
        <f t="shared" si="11"/>
        <v>3</v>
      </c>
      <c r="I18" s="29">
        <f t="shared" si="6"/>
        <v>2.4473684210526314</v>
      </c>
      <c r="J18" s="29">
        <f t="shared" si="7"/>
        <v>3.763157894736842</v>
      </c>
      <c r="K18" s="29"/>
      <c r="L18" s="29"/>
      <c r="M18" s="21"/>
      <c r="N18" s="34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5"/>
    </row>
    <row r="19" ht="19.5" customHeight="1">
      <c r="A19" s="26">
        <v>44258</v>
      </c>
      <c r="B19" s="28">
        <f t="shared" si="8"/>
        <v>2</v>
      </c>
      <c r="C19" s="19">
        <v>3315</v>
      </c>
      <c r="D19" s="19">
        <v>6241</v>
      </c>
      <c r="E19" s="20">
        <v>15</v>
      </c>
      <c r="F19" s="21">
        <f t="shared" si="9"/>
        <v>3</v>
      </c>
      <c r="G19" s="21">
        <f t="shared" si="10"/>
        <v>7</v>
      </c>
      <c r="H19" s="21">
        <f t="shared" si="11"/>
        <v>0</v>
      </c>
      <c r="I19" s="29">
        <f t="shared" si="6"/>
        <v>1.5</v>
      </c>
      <c r="J19" s="29">
        <f t="shared" si="7"/>
        <v>3.5</v>
      </c>
      <c r="K19" s="29"/>
      <c r="L19" s="29"/>
      <c r="M19" s="35" t="s">
        <v>24</v>
      </c>
      <c r="N19" s="34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5"/>
    </row>
    <row r="20" ht="19.5" customHeight="1">
      <c r="A20" s="26">
        <v>44338</v>
      </c>
      <c r="B20" s="28">
        <f t="shared" si="8"/>
        <v>80</v>
      </c>
      <c r="C20" s="19">
        <v>3502</v>
      </c>
      <c r="D20" s="19">
        <v>6550</v>
      </c>
      <c r="E20" s="20"/>
      <c r="F20" s="21">
        <f t="shared" si="9"/>
        <v>187</v>
      </c>
      <c r="G20" s="21">
        <f t="shared" si="10"/>
        <v>309</v>
      </c>
      <c r="H20" s="21">
        <f t="shared" si="11"/>
        <v>0</v>
      </c>
      <c r="I20" s="29">
        <f t="shared" si="6"/>
        <v>2.3374999999999999</v>
      </c>
      <c r="J20" s="29">
        <f t="shared" si="7"/>
        <v>3.8624999999999998</v>
      </c>
      <c r="K20" s="29"/>
      <c r="L20" s="29"/>
      <c r="M20" s="21"/>
      <c r="N20" s="34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5"/>
    </row>
    <row r="21" ht="19.5" customHeight="1">
      <c r="A21" s="26">
        <v>44372</v>
      </c>
      <c r="B21" s="28">
        <f t="shared" si="8"/>
        <v>34</v>
      </c>
      <c r="C21" s="19">
        <v>3551</v>
      </c>
      <c r="D21" s="19">
        <v>6636</v>
      </c>
      <c r="E21" s="20"/>
      <c r="F21" s="21">
        <f t="shared" si="9"/>
        <v>49</v>
      </c>
      <c r="G21" s="21">
        <f t="shared" si="10"/>
        <v>86</v>
      </c>
      <c r="H21" s="21">
        <f t="shared" si="11"/>
        <v>0</v>
      </c>
      <c r="I21" s="29">
        <f t="shared" si="6"/>
        <v>1.4411764705882353</v>
      </c>
      <c r="J21" s="29">
        <f t="shared" si="7"/>
        <v>2.5294117647058822</v>
      </c>
      <c r="K21" s="29"/>
      <c r="L21" s="29"/>
      <c r="M21" s="21"/>
      <c r="N21" s="34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5"/>
    </row>
    <row r="22" ht="19.5" customHeight="1">
      <c r="A22" s="26">
        <v>44399</v>
      </c>
      <c r="B22" s="28">
        <f t="shared" si="8"/>
        <v>27</v>
      </c>
      <c r="C22" s="19">
        <v>3607</v>
      </c>
      <c r="D22" s="19">
        <v>6696</v>
      </c>
      <c r="E22" s="36">
        <v>29</v>
      </c>
      <c r="F22" s="21">
        <f t="shared" si="9"/>
        <v>56</v>
      </c>
      <c r="G22" s="21">
        <f t="shared" si="10"/>
        <v>60</v>
      </c>
      <c r="H22" s="21">
        <f t="shared" si="11"/>
        <v>29</v>
      </c>
      <c r="I22" s="29">
        <f t="shared" si="6"/>
        <v>2.074074074074074</v>
      </c>
      <c r="J22" s="29">
        <f t="shared" si="7"/>
        <v>2.2222222222222223</v>
      </c>
      <c r="K22" s="29"/>
      <c r="L22" s="29"/>
      <c r="M22" s="37" t="s">
        <v>25</v>
      </c>
      <c r="N22" s="34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5"/>
    </row>
    <row r="23" ht="19.5" customHeight="1">
      <c r="A23" s="26">
        <v>44495</v>
      </c>
      <c r="B23" s="28">
        <f t="shared" si="8"/>
        <v>96</v>
      </c>
      <c r="C23" s="19">
        <v>3787</v>
      </c>
      <c r="D23" s="19">
        <v>6976</v>
      </c>
      <c r="E23" s="20"/>
      <c r="F23" s="21">
        <f t="shared" si="9"/>
        <v>180</v>
      </c>
      <c r="G23" s="21">
        <f t="shared" si="10"/>
        <v>280</v>
      </c>
      <c r="H23" s="21">
        <f t="shared" si="11"/>
        <v>0</v>
      </c>
      <c r="I23" s="29">
        <f t="shared" si="6"/>
        <v>1.875</v>
      </c>
      <c r="J23" s="29">
        <f t="shared" si="7"/>
        <v>2.9166666666666665</v>
      </c>
      <c r="K23" s="29"/>
      <c r="L23" s="29"/>
      <c r="M23" s="31" t="s">
        <v>26</v>
      </c>
      <c r="N23" s="34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5"/>
    </row>
    <row r="24" ht="19.5" customHeight="1">
      <c r="A24" s="26">
        <v>44533</v>
      </c>
      <c r="B24" s="28">
        <f t="shared" si="8"/>
        <v>38</v>
      </c>
      <c r="C24" s="19">
        <v>3875</v>
      </c>
      <c r="D24" s="19">
        <v>7120</v>
      </c>
      <c r="E24" s="20"/>
      <c r="F24" s="21">
        <f t="shared" si="9"/>
        <v>88</v>
      </c>
      <c r="G24" s="21">
        <f t="shared" si="10"/>
        <v>144</v>
      </c>
      <c r="H24" s="21">
        <f t="shared" si="11"/>
        <v>0</v>
      </c>
      <c r="I24" s="29">
        <f t="shared" si="6"/>
        <v>2.3157894736842106</v>
      </c>
      <c r="J24" s="29">
        <f t="shared" si="7"/>
        <v>3.7894736842105261</v>
      </c>
      <c r="K24" s="29"/>
      <c r="L24" s="29"/>
      <c r="M24" s="38"/>
      <c r="N24" s="39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40"/>
    </row>
    <row r="25" ht="19.5" customHeight="1">
      <c r="A25" s="26">
        <v>44574</v>
      </c>
      <c r="B25" s="28">
        <f t="shared" si="8"/>
        <v>41</v>
      </c>
      <c r="C25" s="19">
        <v>3966</v>
      </c>
      <c r="D25" s="19">
        <v>7274</v>
      </c>
      <c r="E25" s="20"/>
      <c r="F25" s="21">
        <f t="shared" si="9"/>
        <v>91</v>
      </c>
      <c r="G25" s="21">
        <f t="shared" si="10"/>
        <v>154</v>
      </c>
      <c r="H25" s="21">
        <f t="shared" si="11"/>
        <v>0</v>
      </c>
      <c r="I25" s="29">
        <f t="shared" si="6"/>
        <v>2.2195121951219514</v>
      </c>
      <c r="J25" s="29">
        <f t="shared" si="7"/>
        <v>3.7560975609756095</v>
      </c>
      <c r="K25" s="29"/>
      <c r="L25" s="29"/>
      <c r="M25" s="41"/>
      <c r="N25" s="42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3"/>
    </row>
    <row r="26" ht="19.5" customHeight="1">
      <c r="A26" s="26">
        <v>44578</v>
      </c>
      <c r="B26" s="28">
        <f t="shared" si="8"/>
        <v>4</v>
      </c>
      <c r="C26" s="19">
        <v>3971</v>
      </c>
      <c r="D26" s="19">
        <v>7282</v>
      </c>
      <c r="E26" s="20"/>
      <c r="F26" s="21">
        <f t="shared" si="9"/>
        <v>5</v>
      </c>
      <c r="G26" s="21">
        <f t="shared" si="10"/>
        <v>8</v>
      </c>
      <c r="H26" s="21">
        <f t="shared" si="11"/>
        <v>0</v>
      </c>
      <c r="I26" s="29">
        <f t="shared" si="6"/>
        <v>1.25</v>
      </c>
      <c r="J26" s="29">
        <f t="shared" si="7"/>
        <v>2</v>
      </c>
      <c r="K26" s="29"/>
      <c r="L26" s="29"/>
      <c r="M26" s="44" t="s">
        <v>27</v>
      </c>
      <c r="N26" s="39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40"/>
    </row>
    <row r="27" ht="19.5" customHeight="1">
      <c r="A27" s="26">
        <v>44599</v>
      </c>
      <c r="B27" s="28">
        <f t="shared" si="8"/>
        <v>21</v>
      </c>
      <c r="C27" s="19">
        <v>4015</v>
      </c>
      <c r="D27" s="19">
        <v>7357</v>
      </c>
      <c r="E27" s="20">
        <v>45</v>
      </c>
      <c r="F27" s="21">
        <f t="shared" si="9"/>
        <v>44</v>
      </c>
      <c r="G27" s="21">
        <f t="shared" si="10"/>
        <v>75</v>
      </c>
      <c r="H27" s="21">
        <f t="shared" si="11"/>
        <v>45</v>
      </c>
      <c r="I27" s="29">
        <f t="shared" si="6"/>
        <v>2.0952380952380953</v>
      </c>
      <c r="J27" s="29">
        <f t="shared" si="7"/>
        <v>3.5714285714285716</v>
      </c>
      <c r="K27" s="29"/>
      <c r="L27" s="29"/>
      <c r="M27" s="45" t="s">
        <v>28</v>
      </c>
      <c r="N27" s="42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3"/>
    </row>
    <row r="28" ht="19.5" customHeight="1">
      <c r="A28" s="26">
        <v>44683</v>
      </c>
      <c r="B28" s="28">
        <f t="shared" si="8"/>
        <v>84</v>
      </c>
      <c r="C28" s="19">
        <v>4160</v>
      </c>
      <c r="D28" s="19">
        <v>7634</v>
      </c>
      <c r="E28" s="20">
        <v>51</v>
      </c>
      <c r="F28" s="21">
        <f t="shared" si="9"/>
        <v>145</v>
      </c>
      <c r="G28" s="21">
        <f t="shared" si="10"/>
        <v>277</v>
      </c>
      <c r="H28" s="21">
        <f t="shared" si="11"/>
        <v>6</v>
      </c>
      <c r="I28" s="29">
        <f t="shared" si="6"/>
        <v>1.7261904761904763</v>
      </c>
      <c r="J28" s="29">
        <f t="shared" si="7"/>
        <v>3.2976190476190474</v>
      </c>
      <c r="K28" s="29"/>
      <c r="L28" s="29"/>
      <c r="M28" s="21"/>
      <c r="N28" s="34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5"/>
    </row>
    <row r="29" ht="19.5" customHeight="1">
      <c r="A29" s="26">
        <v>44764</v>
      </c>
      <c r="B29" s="28">
        <f t="shared" si="8"/>
        <v>81</v>
      </c>
      <c r="C29" s="19">
        <v>4295</v>
      </c>
      <c r="D29" s="19">
        <v>7853</v>
      </c>
      <c r="E29" s="20">
        <v>61</v>
      </c>
      <c r="F29" s="21">
        <f t="shared" si="9"/>
        <v>135</v>
      </c>
      <c r="G29" s="21">
        <f t="shared" si="10"/>
        <v>219</v>
      </c>
      <c r="H29" s="21">
        <f t="shared" si="11"/>
        <v>10</v>
      </c>
      <c r="I29" s="29">
        <f t="shared" si="6"/>
        <v>1.6666666666666667</v>
      </c>
      <c r="J29" s="29">
        <f t="shared" si="7"/>
        <v>2.7037037037037037</v>
      </c>
      <c r="K29" s="29"/>
      <c r="L29" s="29"/>
      <c r="M29" s="37" t="s">
        <v>25</v>
      </c>
      <c r="N29" s="34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5"/>
    </row>
    <row r="30" ht="19.5" customHeight="1">
      <c r="A30" s="26">
        <v>44875</v>
      </c>
      <c r="B30" s="28">
        <f t="shared" si="8"/>
        <v>111</v>
      </c>
      <c r="C30" s="19">
        <v>4476</v>
      </c>
      <c r="D30" s="19">
        <v>8151</v>
      </c>
      <c r="E30" s="20">
        <v>76</v>
      </c>
      <c r="F30" s="21">
        <f t="shared" si="9"/>
        <v>181</v>
      </c>
      <c r="G30" s="21">
        <f t="shared" si="10"/>
        <v>298</v>
      </c>
      <c r="H30" s="21">
        <f t="shared" si="11"/>
        <v>15</v>
      </c>
      <c r="I30" s="29">
        <f t="shared" si="6"/>
        <v>1.6306306306306306</v>
      </c>
      <c r="J30" s="29">
        <f t="shared" si="7"/>
        <v>2.6846846846846848</v>
      </c>
      <c r="K30" s="29"/>
      <c r="L30" s="29"/>
      <c r="M30" s="21"/>
      <c r="N30" s="46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5"/>
    </row>
    <row r="31" ht="19.5" customHeight="1">
      <c r="A31" s="26">
        <v>44876</v>
      </c>
      <c r="B31" s="28">
        <f t="shared" si="8"/>
        <v>1</v>
      </c>
      <c r="C31" s="19">
        <v>4478</v>
      </c>
      <c r="D31" s="19">
        <v>8153</v>
      </c>
      <c r="E31" s="47">
        <v>77</v>
      </c>
      <c r="F31" s="21">
        <f t="shared" si="9"/>
        <v>2</v>
      </c>
      <c r="G31" s="21">
        <f t="shared" si="10"/>
        <v>2</v>
      </c>
      <c r="H31" s="21">
        <f t="shared" si="11"/>
        <v>1</v>
      </c>
      <c r="I31" s="29">
        <f t="shared" si="6"/>
        <v>2</v>
      </c>
      <c r="J31" s="29">
        <f t="shared" si="7"/>
        <v>2</v>
      </c>
      <c r="K31" s="29"/>
      <c r="L31" s="29"/>
      <c r="M31" s="21"/>
      <c r="N31" s="46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5"/>
    </row>
    <row r="32" ht="19.5" customHeight="1">
      <c r="A32" s="26">
        <v>44896</v>
      </c>
      <c r="B32" s="28">
        <f t="shared" si="8"/>
        <v>20</v>
      </c>
      <c r="C32" s="19">
        <v>4520</v>
      </c>
      <c r="D32" s="19">
        <v>8234</v>
      </c>
      <c r="E32" s="47">
        <v>77</v>
      </c>
      <c r="F32" s="21">
        <f t="shared" si="9"/>
        <v>42</v>
      </c>
      <c r="G32" s="21">
        <f t="shared" si="10"/>
        <v>81</v>
      </c>
      <c r="H32" s="21">
        <f t="shared" si="11"/>
        <v>0</v>
      </c>
      <c r="I32" s="29">
        <f t="shared" si="6"/>
        <v>2.1000000000000001</v>
      </c>
      <c r="J32" s="29">
        <f t="shared" si="7"/>
        <v>4.0499999999999998</v>
      </c>
      <c r="K32" s="29"/>
      <c r="L32" s="29"/>
      <c r="M32" s="21"/>
      <c r="N32" s="46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5"/>
    </row>
    <row r="33" ht="19.5" customHeight="1">
      <c r="A33" s="26">
        <v>44929</v>
      </c>
      <c r="B33" s="28">
        <f t="shared" si="8"/>
        <v>33</v>
      </c>
      <c r="C33" s="19">
        <v>4587</v>
      </c>
      <c r="D33" s="19">
        <v>8343</v>
      </c>
      <c r="E33" s="20">
        <v>80</v>
      </c>
      <c r="F33" s="21">
        <f t="shared" si="9"/>
        <v>67</v>
      </c>
      <c r="G33" s="21">
        <f t="shared" si="10"/>
        <v>109</v>
      </c>
      <c r="H33" s="21">
        <f t="shared" si="11"/>
        <v>3</v>
      </c>
      <c r="I33" s="29">
        <f t="shared" si="6"/>
        <v>2.0303030303030303</v>
      </c>
      <c r="J33" s="29">
        <f t="shared" si="7"/>
        <v>3.3030303030303032</v>
      </c>
      <c r="K33" s="29"/>
      <c r="L33" s="29"/>
      <c r="M33" s="21"/>
      <c r="N33" s="46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5"/>
    </row>
    <row r="34" ht="19.5" customHeight="1">
      <c r="A34" s="26">
        <v>44939</v>
      </c>
      <c r="B34" s="28">
        <f t="shared" si="8"/>
        <v>10</v>
      </c>
      <c r="C34" s="19">
        <v>4609</v>
      </c>
      <c r="D34" s="19">
        <v>8377</v>
      </c>
      <c r="E34" s="47">
        <v>81</v>
      </c>
      <c r="F34" s="21">
        <f t="shared" si="9"/>
        <v>22</v>
      </c>
      <c r="G34" s="21">
        <f t="shared" si="10"/>
        <v>34</v>
      </c>
      <c r="H34" s="21">
        <f t="shared" si="11"/>
        <v>1</v>
      </c>
      <c r="I34" s="29">
        <f t="shared" si="6"/>
        <v>2.2000000000000002</v>
      </c>
      <c r="J34" s="29">
        <f t="shared" si="7"/>
        <v>3.3999999999999999</v>
      </c>
      <c r="K34" s="29"/>
      <c r="L34" s="29"/>
      <c r="M34" s="44" t="s">
        <v>27</v>
      </c>
      <c r="N34" s="46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5"/>
    </row>
    <row r="35" ht="19.5" customHeight="1">
      <c r="A35" s="26">
        <v>45002</v>
      </c>
      <c r="B35" s="28">
        <f t="shared" si="8"/>
        <v>63</v>
      </c>
      <c r="C35" s="19">
        <v>4700</v>
      </c>
      <c r="D35" s="19">
        <v>8500</v>
      </c>
      <c r="E35" s="47">
        <v>81</v>
      </c>
      <c r="F35" s="21">
        <f t="shared" si="9"/>
        <v>91</v>
      </c>
      <c r="G35" s="21">
        <f t="shared" si="10"/>
        <v>123</v>
      </c>
      <c r="H35" s="21">
        <f t="shared" si="11"/>
        <v>0</v>
      </c>
      <c r="I35" s="29">
        <f t="shared" si="6"/>
        <v>1.4444444444444444</v>
      </c>
      <c r="J35" s="29">
        <f t="shared" si="7"/>
        <v>1.9523809523809523</v>
      </c>
      <c r="K35" s="29"/>
      <c r="L35" s="29"/>
      <c r="M35" s="45" t="s">
        <v>29</v>
      </c>
      <c r="N35" s="46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5"/>
    </row>
    <row r="36" ht="19.5" customHeight="1">
      <c r="A36" s="26">
        <v>45005</v>
      </c>
      <c r="B36" s="28">
        <f t="shared" si="8"/>
        <v>3</v>
      </c>
      <c r="C36" s="19">
        <v>4735</v>
      </c>
      <c r="D36" s="19">
        <v>8613</v>
      </c>
      <c r="E36" s="47">
        <v>81</v>
      </c>
      <c r="F36" s="21">
        <f t="shared" si="9"/>
        <v>35</v>
      </c>
      <c r="G36" s="21">
        <f t="shared" si="10"/>
        <v>113</v>
      </c>
      <c r="H36" s="21">
        <f t="shared" si="11"/>
        <v>0</v>
      </c>
      <c r="I36" s="29">
        <f t="shared" si="6"/>
        <v>11.666666666666666</v>
      </c>
      <c r="J36" s="29">
        <f t="shared" si="7"/>
        <v>37.666666666666664</v>
      </c>
      <c r="K36" s="29"/>
      <c r="L36" s="29"/>
      <c r="M36" s="21"/>
      <c r="N36" s="46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5"/>
    </row>
    <row r="37" ht="19.5" customHeight="1">
      <c r="A37" s="26">
        <v>45009</v>
      </c>
      <c r="B37" s="28">
        <f t="shared" si="8"/>
        <v>4</v>
      </c>
      <c r="C37" s="19">
        <v>4747</v>
      </c>
      <c r="D37" s="19">
        <v>8631</v>
      </c>
      <c r="E37" s="47">
        <v>81</v>
      </c>
      <c r="F37" s="21">
        <f t="shared" si="9"/>
        <v>12</v>
      </c>
      <c r="G37" s="21">
        <f t="shared" si="10"/>
        <v>18</v>
      </c>
      <c r="H37" s="21">
        <f t="shared" si="11"/>
        <v>0</v>
      </c>
      <c r="I37" s="29">
        <f t="shared" si="6"/>
        <v>3</v>
      </c>
      <c r="J37" s="29">
        <f t="shared" si="7"/>
        <v>4.5</v>
      </c>
      <c r="K37" s="29"/>
      <c r="L37" s="29"/>
      <c r="M37" s="21"/>
      <c r="N37" s="46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5"/>
    </row>
    <row r="38" ht="19.5" customHeight="1">
      <c r="A38" s="26">
        <v>45069</v>
      </c>
      <c r="B38" s="28">
        <f t="shared" si="8"/>
        <v>60</v>
      </c>
      <c r="C38" s="19">
        <v>4859</v>
      </c>
      <c r="D38" s="19">
        <v>8846</v>
      </c>
      <c r="E38" s="47">
        <v>81</v>
      </c>
      <c r="F38" s="21">
        <f t="shared" si="9"/>
        <v>112</v>
      </c>
      <c r="G38" s="21">
        <f t="shared" si="10"/>
        <v>215</v>
      </c>
      <c r="H38" s="21">
        <f t="shared" si="11"/>
        <v>0</v>
      </c>
      <c r="I38" s="29">
        <f t="shared" si="6"/>
        <v>1.8666666666666667</v>
      </c>
      <c r="J38" s="29">
        <f t="shared" si="7"/>
        <v>3.5833333333333335</v>
      </c>
      <c r="K38" s="29"/>
      <c r="L38" s="29"/>
      <c r="M38" s="21"/>
      <c r="N38" s="46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5"/>
    </row>
    <row r="39" ht="19.5" customHeight="1">
      <c r="A39" s="26">
        <v>45239</v>
      </c>
      <c r="B39" s="28">
        <f t="shared" si="8"/>
        <v>170</v>
      </c>
      <c r="C39" s="19">
        <v>5164</v>
      </c>
      <c r="D39" s="19">
        <v>9303</v>
      </c>
      <c r="E39" s="20">
        <v>116</v>
      </c>
      <c r="F39" s="21">
        <f t="shared" si="9"/>
        <v>305</v>
      </c>
      <c r="G39" s="21">
        <f t="shared" si="10"/>
        <v>457</v>
      </c>
      <c r="H39" s="21">
        <f t="shared" si="11"/>
        <v>35</v>
      </c>
      <c r="I39" s="29">
        <f t="shared" si="6"/>
        <v>1.7941176470588236</v>
      </c>
      <c r="J39" s="29">
        <f t="shared" si="7"/>
        <v>2.6882352941176473</v>
      </c>
      <c r="K39" s="29"/>
      <c r="L39" s="29"/>
      <c r="M39" s="35" t="s">
        <v>30</v>
      </c>
      <c r="N39" s="23" t="s">
        <v>31</v>
      </c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5"/>
    </row>
    <row r="40" ht="19.5" customHeight="1">
      <c r="A40" s="26">
        <v>45245</v>
      </c>
      <c r="B40" s="28">
        <f t="shared" si="8"/>
        <v>6</v>
      </c>
      <c r="C40" s="19">
        <v>5179</v>
      </c>
      <c r="D40" s="19">
        <v>9326</v>
      </c>
      <c r="E40" s="47">
        <v>117</v>
      </c>
      <c r="F40" s="21">
        <f t="shared" si="9"/>
        <v>15</v>
      </c>
      <c r="G40" s="21">
        <f t="shared" si="10"/>
        <v>23</v>
      </c>
      <c r="H40" s="21">
        <f t="shared" si="11"/>
        <v>1</v>
      </c>
      <c r="I40" s="29">
        <f t="shared" si="6"/>
        <v>2.5</v>
      </c>
      <c r="J40" s="29">
        <f t="shared" si="7"/>
        <v>3.8333333333333335</v>
      </c>
      <c r="K40" s="29"/>
      <c r="L40" s="29"/>
      <c r="M40" s="21"/>
      <c r="N40" s="34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5"/>
    </row>
    <row r="41" ht="19.5" customHeight="1">
      <c r="A41" s="26">
        <v>45330</v>
      </c>
      <c r="B41" s="28">
        <f t="shared" si="8"/>
        <v>85</v>
      </c>
      <c r="C41" s="19">
        <v>5438</v>
      </c>
      <c r="D41" s="19">
        <v>9675</v>
      </c>
      <c r="E41" s="20">
        <v>123</v>
      </c>
      <c r="F41" s="21">
        <f t="shared" si="9"/>
        <v>259</v>
      </c>
      <c r="G41" s="21">
        <f t="shared" si="10"/>
        <v>349</v>
      </c>
      <c r="H41" s="21">
        <f t="shared" si="11"/>
        <v>6</v>
      </c>
      <c r="I41" s="29">
        <f t="shared" si="6"/>
        <v>3.0470588235294116</v>
      </c>
      <c r="J41" s="29">
        <f t="shared" si="7"/>
        <v>4.1058823529411761</v>
      </c>
      <c r="K41" s="29"/>
      <c r="L41" s="29"/>
      <c r="M41" s="37" t="s">
        <v>32</v>
      </c>
      <c r="N41" s="34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5"/>
    </row>
    <row r="42" ht="19.5" customHeight="1">
      <c r="A42" s="26">
        <v>45394</v>
      </c>
      <c r="B42" s="28">
        <f t="shared" si="8"/>
        <v>64</v>
      </c>
      <c r="C42" s="19">
        <v>5620</v>
      </c>
      <c r="D42" s="19">
        <v>9786</v>
      </c>
      <c r="E42" s="20">
        <v>133</v>
      </c>
      <c r="F42" s="21">
        <f t="shared" si="9"/>
        <v>182</v>
      </c>
      <c r="G42" s="21">
        <f t="shared" si="10"/>
        <v>111</v>
      </c>
      <c r="H42" s="21">
        <f t="shared" si="11"/>
        <v>10</v>
      </c>
      <c r="I42" s="29">
        <f t="shared" si="6"/>
        <v>2.84375</v>
      </c>
      <c r="J42" s="29">
        <f t="shared" si="7"/>
        <v>1.734375</v>
      </c>
      <c r="K42" s="29"/>
      <c r="L42" s="29"/>
      <c r="M42" s="31" t="s">
        <v>33</v>
      </c>
      <c r="N42" s="34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5"/>
    </row>
    <row r="43" ht="19.5" customHeight="1">
      <c r="A43" s="26">
        <v>45404</v>
      </c>
      <c r="B43" s="28">
        <f t="shared" si="8"/>
        <v>10</v>
      </c>
      <c r="C43" s="19">
        <v>5639</v>
      </c>
      <c r="D43" s="19">
        <v>9791</v>
      </c>
      <c r="E43" s="20">
        <v>134</v>
      </c>
      <c r="F43" s="21">
        <f t="shared" si="9"/>
        <v>19</v>
      </c>
      <c r="G43" s="21">
        <f t="shared" si="10"/>
        <v>5</v>
      </c>
      <c r="H43" s="21">
        <f t="shared" si="11"/>
        <v>1</v>
      </c>
      <c r="I43" s="29">
        <f t="shared" si="6"/>
        <v>1.8999999999999999</v>
      </c>
      <c r="J43" s="29">
        <f t="shared" si="7"/>
        <v>0.5</v>
      </c>
      <c r="K43" s="29"/>
      <c r="L43" s="29"/>
      <c r="M43" s="23" t="s">
        <v>34</v>
      </c>
      <c r="N43" s="34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5"/>
    </row>
    <row r="44" ht="19.5" customHeight="1">
      <c r="A44" s="26">
        <v>45407</v>
      </c>
      <c r="B44" s="28">
        <f t="shared" si="8"/>
        <v>3</v>
      </c>
      <c r="C44" s="19">
        <v>5645</v>
      </c>
      <c r="D44" s="19">
        <v>9792</v>
      </c>
      <c r="E44" s="20">
        <v>135</v>
      </c>
      <c r="F44" s="21">
        <f t="shared" si="9"/>
        <v>6</v>
      </c>
      <c r="G44" s="21">
        <f t="shared" si="10"/>
        <v>1</v>
      </c>
      <c r="H44" s="21">
        <f t="shared" si="11"/>
        <v>1</v>
      </c>
      <c r="I44" s="29">
        <f t="shared" si="6"/>
        <v>2</v>
      </c>
      <c r="J44" s="29">
        <f t="shared" si="7"/>
        <v>0.33333333333333331</v>
      </c>
      <c r="K44" s="29"/>
      <c r="L44" s="29"/>
      <c r="M44" s="21"/>
      <c r="N44" s="34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5"/>
    </row>
    <row r="45" ht="19.5" customHeight="1">
      <c r="A45" s="26">
        <v>45431</v>
      </c>
      <c r="B45" s="28">
        <f t="shared" si="8"/>
        <v>24</v>
      </c>
      <c r="C45" s="19">
        <v>5705</v>
      </c>
      <c r="D45" s="19">
        <v>9810</v>
      </c>
      <c r="E45" s="20">
        <v>138</v>
      </c>
      <c r="F45" s="21">
        <f t="shared" si="9"/>
        <v>60</v>
      </c>
      <c r="G45" s="21">
        <f t="shared" si="10"/>
        <v>18</v>
      </c>
      <c r="H45" s="21">
        <f t="shared" si="11"/>
        <v>3</v>
      </c>
      <c r="I45" s="29">
        <f t="shared" si="6"/>
        <v>2.5</v>
      </c>
      <c r="J45" s="29">
        <f t="shared" si="7"/>
        <v>0.75</v>
      </c>
      <c r="K45" s="29"/>
      <c r="L45" s="29"/>
      <c r="M45" s="21"/>
      <c r="N45" s="34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5"/>
    </row>
    <row r="46" ht="19.5" customHeight="1">
      <c r="A46" s="26">
        <v>45433</v>
      </c>
      <c r="B46" s="28">
        <f t="shared" si="8"/>
        <v>2</v>
      </c>
      <c r="C46" s="48">
        <v>5713</v>
      </c>
      <c r="D46" s="48">
        <v>9812</v>
      </c>
      <c r="E46" s="49">
        <v>139</v>
      </c>
      <c r="F46" s="21">
        <f t="shared" si="9"/>
        <v>8</v>
      </c>
      <c r="G46" s="21">
        <f t="shared" si="10"/>
        <v>2</v>
      </c>
      <c r="H46" s="21">
        <f t="shared" si="11"/>
        <v>1</v>
      </c>
      <c r="I46" s="29">
        <f t="shared" si="6"/>
        <v>4</v>
      </c>
      <c r="J46" s="29">
        <f t="shared" si="7"/>
        <v>1</v>
      </c>
      <c r="K46" s="29"/>
      <c r="L46" s="29"/>
      <c r="M46" s="21"/>
      <c r="N46" s="34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5"/>
    </row>
    <row r="47" ht="19.5" customHeight="1">
      <c r="A47" s="50">
        <v>45483</v>
      </c>
      <c r="B47" s="22">
        <f t="shared" si="8"/>
        <v>50</v>
      </c>
      <c r="C47" s="21">
        <v>5811</v>
      </c>
      <c r="D47" s="21">
        <v>9844</v>
      </c>
      <c r="E47" s="21">
        <v>148</v>
      </c>
      <c r="F47" s="21">
        <f t="shared" si="9"/>
        <v>98</v>
      </c>
      <c r="G47" s="21">
        <f t="shared" si="10"/>
        <v>32</v>
      </c>
      <c r="H47" s="21">
        <f t="shared" si="11"/>
        <v>9</v>
      </c>
      <c r="I47" s="29">
        <f t="shared" ref="I47:I50" si="12">IF(B47&gt;0,F47/B47)</f>
        <v>1.96</v>
      </c>
      <c r="J47" s="29">
        <f t="shared" si="7"/>
        <v>0.64000000000000001</v>
      </c>
      <c r="K47" s="29"/>
      <c r="L47" s="29"/>
      <c r="M47" s="51" t="s">
        <v>35</v>
      </c>
      <c r="N47" s="34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5"/>
    </row>
    <row r="48" ht="19.5" customHeight="1">
      <c r="A48" s="52">
        <v>45506</v>
      </c>
      <c r="B48" s="22">
        <f t="shared" si="8"/>
        <v>23</v>
      </c>
      <c r="C48" s="21">
        <v>5868</v>
      </c>
      <c r="D48" s="21">
        <v>9859</v>
      </c>
      <c r="E48" s="21">
        <v>148</v>
      </c>
      <c r="F48" s="21">
        <f t="shared" si="9"/>
        <v>57</v>
      </c>
      <c r="G48" s="21">
        <f t="shared" si="10"/>
        <v>15</v>
      </c>
      <c r="H48" s="21">
        <f t="shared" si="11"/>
        <v>0</v>
      </c>
      <c r="I48" s="29">
        <f t="shared" si="12"/>
        <v>2.4782608695652173</v>
      </c>
      <c r="J48" s="29">
        <f t="shared" si="7"/>
        <v>0.65217391304347827</v>
      </c>
      <c r="K48" s="29"/>
      <c r="L48" s="29"/>
      <c r="M48" s="23" t="s">
        <v>36</v>
      </c>
      <c r="N48" s="34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5"/>
    </row>
    <row r="49" ht="19.5" customHeight="1">
      <c r="A49" s="52">
        <v>45587</v>
      </c>
      <c r="B49" s="22">
        <f t="shared" si="8"/>
        <v>81</v>
      </c>
      <c r="C49" s="21">
        <v>6038</v>
      </c>
      <c r="D49" s="21">
        <v>9945</v>
      </c>
      <c r="E49" s="21">
        <v>148</v>
      </c>
      <c r="F49" s="21">
        <f t="shared" si="9"/>
        <v>170</v>
      </c>
      <c r="G49" s="21">
        <f t="shared" si="10"/>
        <v>86</v>
      </c>
      <c r="H49" s="21">
        <f t="shared" si="11"/>
        <v>0</v>
      </c>
      <c r="I49" s="29">
        <f t="shared" si="12"/>
        <v>2.0987654320987654</v>
      </c>
      <c r="J49" s="29">
        <f t="shared" si="7"/>
        <v>1.0617283950617284</v>
      </c>
      <c r="K49" s="29"/>
      <c r="L49" s="29"/>
      <c r="M49" s="21"/>
      <c r="N49" s="34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5"/>
    </row>
    <row r="50" ht="19.5" customHeight="1">
      <c r="A50" s="52">
        <v>45588</v>
      </c>
      <c r="B50" s="22">
        <f t="shared" si="8"/>
        <v>1</v>
      </c>
      <c r="C50" s="21">
        <v>6039</v>
      </c>
      <c r="D50" s="21">
        <v>9951</v>
      </c>
      <c r="E50" s="21">
        <v>148</v>
      </c>
      <c r="F50" s="21">
        <f t="shared" si="9"/>
        <v>1</v>
      </c>
      <c r="G50" s="21">
        <f t="shared" si="10"/>
        <v>6</v>
      </c>
      <c r="H50" s="21">
        <f t="shared" si="11"/>
        <v>0</v>
      </c>
      <c r="I50" s="29">
        <f t="shared" si="12"/>
        <v>1</v>
      </c>
      <c r="J50" s="29">
        <f t="shared" si="7"/>
        <v>6</v>
      </c>
      <c r="K50" s="29"/>
      <c r="L50" s="29"/>
      <c r="M50" s="23" t="s">
        <v>37</v>
      </c>
      <c r="N50" s="34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5"/>
    </row>
    <row r="51" ht="19.5" customHeight="1">
      <c r="A51" s="52">
        <v>45677</v>
      </c>
      <c r="B51" s="22">
        <f t="shared" si="8"/>
        <v>89</v>
      </c>
      <c r="C51" s="21">
        <v>6308</v>
      </c>
      <c r="D51" s="21">
        <v>10258</v>
      </c>
      <c r="E51" s="21">
        <v>148</v>
      </c>
      <c r="F51" s="21">
        <f t="shared" si="9"/>
        <v>269</v>
      </c>
      <c r="G51" s="21">
        <f t="shared" si="10"/>
        <v>307</v>
      </c>
      <c r="H51" s="21">
        <f t="shared" si="11"/>
        <v>0</v>
      </c>
      <c r="I51" s="29">
        <f t="shared" ref="I51:I100" si="13">IF(F51&gt;0,F51/B51,0)</f>
        <v>3.0224719101123596</v>
      </c>
      <c r="J51" s="29">
        <f t="shared" si="7"/>
        <v>3.4494382022471912</v>
      </c>
      <c r="K51" s="29"/>
      <c r="L51" s="29"/>
      <c r="M51" s="23" t="s">
        <v>38</v>
      </c>
      <c r="N51" s="34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5"/>
    </row>
    <row r="52" ht="19.5" customHeight="1">
      <c r="A52" s="52">
        <v>45873</v>
      </c>
      <c r="B52" s="22">
        <f t="shared" si="8"/>
        <v>196</v>
      </c>
      <c r="C52" s="21">
        <v>0</v>
      </c>
      <c r="D52" s="21">
        <v>0</v>
      </c>
      <c r="E52" s="21">
        <v>148</v>
      </c>
      <c r="F52" s="21">
        <f t="shared" si="9"/>
        <v>0</v>
      </c>
      <c r="G52" s="21">
        <f t="shared" si="10"/>
        <v>0</v>
      </c>
      <c r="H52" s="21">
        <f t="shared" si="11"/>
        <v>0</v>
      </c>
      <c r="I52" s="29">
        <f t="shared" si="13"/>
        <v>0</v>
      </c>
      <c r="J52" s="29">
        <f t="shared" ref="J52:J100" si="14">IF(G52&gt;0,G52/C52,0)</f>
        <v>0</v>
      </c>
      <c r="K52" s="29"/>
      <c r="L52" s="29"/>
      <c r="M52" s="23" t="s">
        <v>39</v>
      </c>
      <c r="N52" s="34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5"/>
    </row>
    <row r="53" ht="19.5" customHeight="1">
      <c r="A53" s="52">
        <v>45890</v>
      </c>
      <c r="B53" s="22">
        <f t="shared" si="8"/>
        <v>17</v>
      </c>
      <c r="C53" s="21">
        <v>0</v>
      </c>
      <c r="D53" s="21">
        <v>0</v>
      </c>
      <c r="E53" s="21">
        <v>252</v>
      </c>
      <c r="F53" s="21">
        <f t="shared" si="9"/>
        <v>0</v>
      </c>
      <c r="G53" s="21">
        <f t="shared" si="10"/>
        <v>0</v>
      </c>
      <c r="H53" s="21">
        <f t="shared" si="11"/>
        <v>104</v>
      </c>
      <c r="I53" s="29">
        <f t="shared" si="13"/>
        <v>0</v>
      </c>
      <c r="J53" s="29">
        <f t="shared" si="14"/>
        <v>0</v>
      </c>
      <c r="K53" s="29"/>
      <c r="L53" s="29"/>
      <c r="M53" s="23" t="s">
        <v>40</v>
      </c>
      <c r="N53" s="34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5"/>
    </row>
    <row r="54" ht="19.5" customHeight="1">
      <c r="A54" s="52">
        <v>45904</v>
      </c>
      <c r="B54" s="22">
        <f t="shared" si="8"/>
        <v>14</v>
      </c>
      <c r="C54" s="21">
        <v>0</v>
      </c>
      <c r="D54" s="21">
        <v>0</v>
      </c>
      <c r="E54" s="21">
        <v>254</v>
      </c>
      <c r="F54" s="21">
        <f t="shared" si="9"/>
        <v>0</v>
      </c>
      <c r="G54" s="21">
        <f t="shared" si="10"/>
        <v>0</v>
      </c>
      <c r="H54" s="21">
        <f t="shared" si="11"/>
        <v>2</v>
      </c>
      <c r="I54" s="29">
        <f t="shared" si="13"/>
        <v>0</v>
      </c>
      <c r="J54" s="29">
        <f t="shared" si="14"/>
        <v>0</v>
      </c>
      <c r="K54" s="29">
        <f t="shared" ref="K54:K66" si="15">H54/B54</f>
        <v>0.14285714285714285</v>
      </c>
      <c r="L54" s="29"/>
      <c r="M54" s="21"/>
      <c r="N54" s="34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5"/>
    </row>
    <row r="55" ht="19.5" customHeight="1">
      <c r="A55" s="53">
        <v>45913</v>
      </c>
      <c r="B55" s="22">
        <f t="shared" si="8"/>
        <v>9</v>
      </c>
      <c r="C55" s="21"/>
      <c r="D55" s="21"/>
      <c r="E55" s="21">
        <v>255</v>
      </c>
      <c r="F55" s="21">
        <f t="shared" si="9"/>
        <v>0</v>
      </c>
      <c r="G55" s="21">
        <f t="shared" si="10"/>
        <v>0</v>
      </c>
      <c r="H55" s="21">
        <f t="shared" si="11"/>
        <v>1</v>
      </c>
      <c r="I55" s="29">
        <f t="shared" si="13"/>
        <v>0</v>
      </c>
      <c r="J55" s="29">
        <f t="shared" si="14"/>
        <v>0</v>
      </c>
      <c r="K55" s="29">
        <f t="shared" si="15"/>
        <v>0.1111111111111111</v>
      </c>
      <c r="L55" s="29"/>
      <c r="M55" s="54"/>
      <c r="N55" s="34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5"/>
    </row>
    <row r="56" ht="19.5" customHeight="1">
      <c r="A56" s="52">
        <v>45915</v>
      </c>
      <c r="B56" s="22">
        <f>A56-A54</f>
        <v>11</v>
      </c>
      <c r="C56" s="21">
        <v>0</v>
      </c>
      <c r="D56" s="21">
        <v>0</v>
      </c>
      <c r="E56" s="21">
        <v>255</v>
      </c>
      <c r="F56" s="21">
        <f>IF(C56&gt;0,C56-C54,0)</f>
        <v>0</v>
      </c>
      <c r="G56" s="21">
        <f>IF(D56&gt;0,D56-D54,0)</f>
        <v>0</v>
      </c>
      <c r="H56" s="21">
        <f>IF(E56&gt;0,E56-E54,0)</f>
        <v>1</v>
      </c>
      <c r="I56" s="29">
        <f t="shared" si="13"/>
        <v>0</v>
      </c>
      <c r="J56" s="29">
        <f t="shared" si="14"/>
        <v>0</v>
      </c>
      <c r="K56" s="29">
        <f t="shared" si="15"/>
        <v>9.0909090909090912e-02</v>
      </c>
      <c r="L56" s="29"/>
      <c r="M56" s="55" t="s">
        <v>41</v>
      </c>
      <c r="N56" s="34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5"/>
    </row>
    <row r="57" ht="19.5" customHeight="1">
      <c r="A57" s="52">
        <v>45927</v>
      </c>
      <c r="B57" s="22">
        <f t="shared" ref="B57:B100" si="16">A57-A56</f>
        <v>12</v>
      </c>
      <c r="C57" s="21">
        <v>0</v>
      </c>
      <c r="D57" s="21">
        <v>0</v>
      </c>
      <c r="E57" s="21">
        <v>261</v>
      </c>
      <c r="F57" s="21">
        <f t="shared" ref="F57:F100" si="17">IF(C57&gt;0,C57-C56,0)</f>
        <v>0</v>
      </c>
      <c r="G57" s="21">
        <f t="shared" ref="G57:G100" si="18">IF(D57&gt;0,D57-D56,0)</f>
        <v>0</v>
      </c>
      <c r="H57" s="21">
        <f t="shared" ref="H57:H100" si="19">IF(E57&gt;0,E57-E56,0)</f>
        <v>6</v>
      </c>
      <c r="I57" s="29">
        <f t="shared" si="13"/>
        <v>0</v>
      </c>
      <c r="J57" s="29">
        <f t="shared" si="14"/>
        <v>0</v>
      </c>
      <c r="K57" s="29">
        <f t="shared" si="15"/>
        <v>0.5</v>
      </c>
      <c r="L57" s="29"/>
      <c r="M57" s="21"/>
      <c r="N57" s="34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5"/>
    </row>
    <row r="58" ht="19.5" customHeight="1">
      <c r="A58" s="52">
        <v>45986</v>
      </c>
      <c r="B58" s="22">
        <f t="shared" si="16"/>
        <v>59</v>
      </c>
      <c r="C58" s="21">
        <v>0</v>
      </c>
      <c r="D58" s="21">
        <v>0</v>
      </c>
      <c r="E58" s="21">
        <v>261</v>
      </c>
      <c r="F58" s="21">
        <f t="shared" si="17"/>
        <v>0</v>
      </c>
      <c r="G58" s="21">
        <f t="shared" si="18"/>
        <v>0</v>
      </c>
      <c r="H58" s="21">
        <f t="shared" si="19"/>
        <v>0</v>
      </c>
      <c r="I58" s="29">
        <f t="shared" si="13"/>
        <v>0</v>
      </c>
      <c r="J58" s="29">
        <f t="shared" si="14"/>
        <v>0</v>
      </c>
      <c r="K58" s="29">
        <f t="shared" si="15"/>
        <v>0</v>
      </c>
      <c r="L58" s="29"/>
      <c r="M58" s="55" t="s">
        <v>41</v>
      </c>
      <c r="N58" s="34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5"/>
    </row>
    <row r="59" ht="19.5" customHeight="1">
      <c r="A59" s="52">
        <v>46039</v>
      </c>
      <c r="B59" s="22">
        <f t="shared" si="16"/>
        <v>53</v>
      </c>
      <c r="C59" s="21">
        <v>7357</v>
      </c>
      <c r="D59" s="21">
        <v>10968</v>
      </c>
      <c r="E59" s="21">
        <v>261</v>
      </c>
      <c r="F59" s="21">
        <f t="shared" si="17"/>
        <v>7357</v>
      </c>
      <c r="G59" s="21">
        <f t="shared" si="18"/>
        <v>10968</v>
      </c>
      <c r="H59" s="21">
        <f t="shared" si="19"/>
        <v>0</v>
      </c>
      <c r="I59" s="29">
        <f t="shared" si="13"/>
        <v>138.81132075471697</v>
      </c>
      <c r="J59" s="29">
        <f t="shared" si="14"/>
        <v>1.4908250645643604</v>
      </c>
      <c r="K59" s="29">
        <f t="shared" si="15"/>
        <v>0</v>
      </c>
      <c r="L59" s="29"/>
      <c r="M59" s="21"/>
      <c r="N59" s="34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5"/>
    </row>
    <row r="60" ht="19.5" customHeight="1">
      <c r="A60" s="52">
        <v>46166</v>
      </c>
      <c r="B60" s="22">
        <f t="shared" si="16"/>
        <v>127</v>
      </c>
      <c r="C60" s="21">
        <v>7357</v>
      </c>
      <c r="D60" s="21">
        <v>10968</v>
      </c>
      <c r="E60" s="21">
        <v>319</v>
      </c>
      <c r="F60" s="21">
        <f t="shared" si="17"/>
        <v>0</v>
      </c>
      <c r="G60" s="21">
        <f t="shared" si="18"/>
        <v>0</v>
      </c>
      <c r="H60" s="21">
        <f t="shared" si="19"/>
        <v>58</v>
      </c>
      <c r="I60" s="29">
        <f t="shared" si="13"/>
        <v>0</v>
      </c>
      <c r="J60" s="29">
        <f t="shared" si="14"/>
        <v>0</v>
      </c>
      <c r="K60" s="29">
        <f t="shared" si="15"/>
        <v>0.45669291338582679</v>
      </c>
      <c r="L60" s="29"/>
      <c r="M60" s="21"/>
      <c r="N60" s="34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5"/>
    </row>
    <row r="61" ht="19.5" customHeight="1">
      <c r="A61" s="52">
        <v>46192</v>
      </c>
      <c r="B61" s="22">
        <f t="shared" si="16"/>
        <v>26</v>
      </c>
      <c r="C61" s="21">
        <v>7357</v>
      </c>
      <c r="D61" s="21">
        <v>10968</v>
      </c>
      <c r="E61" s="21">
        <v>322</v>
      </c>
      <c r="F61" s="21">
        <f t="shared" si="17"/>
        <v>0</v>
      </c>
      <c r="G61" s="21">
        <f t="shared" si="18"/>
        <v>0</v>
      </c>
      <c r="H61" s="21">
        <f t="shared" si="19"/>
        <v>3</v>
      </c>
      <c r="I61" s="29">
        <f t="shared" si="13"/>
        <v>0</v>
      </c>
      <c r="J61" s="29">
        <f t="shared" si="14"/>
        <v>0</v>
      </c>
      <c r="K61" s="29">
        <f t="shared" si="15"/>
        <v>0.11538461538461539</v>
      </c>
      <c r="L61" s="29"/>
      <c r="M61" s="21"/>
      <c r="N61" s="34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5"/>
    </row>
    <row r="62" ht="19.5" customHeight="1">
      <c r="A62" s="52">
        <v>46204</v>
      </c>
      <c r="B62" s="22">
        <f t="shared" si="16"/>
        <v>12</v>
      </c>
      <c r="C62" s="21">
        <v>7357</v>
      </c>
      <c r="D62" s="21">
        <v>10968</v>
      </c>
      <c r="E62" s="21">
        <v>325</v>
      </c>
      <c r="F62" s="21">
        <f t="shared" si="17"/>
        <v>0</v>
      </c>
      <c r="G62" s="21">
        <f t="shared" si="18"/>
        <v>0</v>
      </c>
      <c r="H62" s="21">
        <f t="shared" si="19"/>
        <v>3</v>
      </c>
      <c r="I62" s="29">
        <f t="shared" si="13"/>
        <v>0</v>
      </c>
      <c r="J62" s="29">
        <f t="shared" si="14"/>
        <v>0</v>
      </c>
      <c r="K62" s="29">
        <f t="shared" si="15"/>
        <v>0.25</v>
      </c>
      <c r="L62" s="29"/>
      <c r="M62" s="23" t="s">
        <v>42</v>
      </c>
      <c r="N62" s="34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5"/>
    </row>
    <row r="63" ht="19.5" customHeight="1">
      <c r="A63" s="52">
        <v>46205</v>
      </c>
      <c r="B63" s="22">
        <f t="shared" si="16"/>
        <v>1</v>
      </c>
      <c r="C63" s="21">
        <v>7357</v>
      </c>
      <c r="D63" s="21">
        <v>10968</v>
      </c>
      <c r="E63" s="21">
        <v>325</v>
      </c>
      <c r="F63" s="21">
        <f t="shared" si="17"/>
        <v>0</v>
      </c>
      <c r="G63" s="21">
        <f t="shared" si="18"/>
        <v>0</v>
      </c>
      <c r="H63" s="21">
        <f t="shared" si="19"/>
        <v>0</v>
      </c>
      <c r="I63" s="29">
        <f t="shared" si="13"/>
        <v>0</v>
      </c>
      <c r="J63" s="29">
        <f t="shared" si="14"/>
        <v>0</v>
      </c>
      <c r="K63" s="29">
        <f t="shared" si="15"/>
        <v>0</v>
      </c>
      <c r="L63" s="29"/>
      <c r="M63" s="21"/>
      <c r="N63" s="34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5"/>
    </row>
    <row r="64" ht="19.5" customHeight="1">
      <c r="A64" s="56" t="s">
        <v>43</v>
      </c>
      <c r="B64" s="22" t="e">
        <f t="shared" si="16"/>
        <v>#VALUE!</v>
      </c>
      <c r="C64" s="21">
        <v>8087</v>
      </c>
      <c r="D64" s="21">
        <v>11417</v>
      </c>
      <c r="E64" s="21">
        <v>326</v>
      </c>
      <c r="F64" s="21">
        <f t="shared" si="17"/>
        <v>730</v>
      </c>
      <c r="G64" s="21">
        <f t="shared" si="18"/>
        <v>449</v>
      </c>
      <c r="H64" s="21">
        <f t="shared" si="19"/>
        <v>1</v>
      </c>
      <c r="I64" s="29" t="e">
        <f t="shared" si="13"/>
        <v>#VALUE!</v>
      </c>
      <c r="J64" s="29">
        <f t="shared" si="14"/>
        <v>5.5521206875231856e-02</v>
      </c>
      <c r="K64" s="29" t="e">
        <f t="shared" si="15"/>
        <v>#VALUE!</v>
      </c>
      <c r="L64" s="29"/>
      <c r="M64" s="57" t="s">
        <v>44</v>
      </c>
      <c r="N64" s="34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5"/>
    </row>
    <row r="65" ht="19.5" customHeight="1">
      <c r="A65" s="58">
        <v>46241</v>
      </c>
      <c r="B65" s="22" t="e">
        <f t="shared" si="16"/>
        <v>#VALUE!</v>
      </c>
      <c r="C65" s="21">
        <v>0</v>
      </c>
      <c r="D65" s="21">
        <v>0</v>
      </c>
      <c r="E65" s="21">
        <v>332</v>
      </c>
      <c r="F65" s="21"/>
      <c r="G65" s="21"/>
      <c r="H65" s="21">
        <f t="shared" si="19"/>
        <v>6</v>
      </c>
      <c r="I65" s="29"/>
      <c r="J65" s="29"/>
      <c r="K65" s="29" t="e">
        <f t="shared" si="15"/>
        <v>#VALUE!</v>
      </c>
      <c r="L65" s="29"/>
      <c r="M65" s="57"/>
      <c r="N65" s="34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5"/>
    </row>
    <row r="66" ht="19.5" customHeight="1">
      <c r="A66" s="58">
        <v>46248</v>
      </c>
      <c r="B66" s="22">
        <f t="shared" si="16"/>
        <v>7</v>
      </c>
      <c r="C66" s="21">
        <v>118</v>
      </c>
      <c r="D66" s="21">
        <v>41</v>
      </c>
      <c r="E66" s="21">
        <v>335</v>
      </c>
      <c r="F66" s="21">
        <f>IF(C66&gt;0,C66-C64,0)</f>
        <v>-7969</v>
      </c>
      <c r="G66" s="21">
        <f>IF(D66&gt;0,D66-D64,0)</f>
        <v>-11376</v>
      </c>
      <c r="H66" s="21">
        <f t="shared" si="19"/>
        <v>3</v>
      </c>
      <c r="I66" s="29">
        <f t="shared" si="13"/>
        <v>0</v>
      </c>
      <c r="J66" s="29">
        <f t="shared" si="14"/>
        <v>0</v>
      </c>
      <c r="K66" s="29">
        <f t="shared" si="15"/>
        <v>0.42857142857142855</v>
      </c>
      <c r="L66" s="29">
        <f>SUM(C66,D66,-C65,-D65)/B66</f>
        <v>22.714285714285715</v>
      </c>
      <c r="M66" s="21"/>
      <c r="N66" s="34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5"/>
    </row>
    <row r="67" ht="19.5" customHeight="1">
      <c r="A67" s="58">
        <v>46279</v>
      </c>
      <c r="B67" s="22">
        <f>A67-A66</f>
        <v>31</v>
      </c>
      <c r="C67" s="21">
        <v>150</v>
      </c>
      <c r="D67" s="21">
        <v>58</v>
      </c>
      <c r="E67" s="21">
        <v>344</v>
      </c>
      <c r="F67" s="21">
        <f t="shared" si="17"/>
        <v>32</v>
      </c>
      <c r="G67" s="21">
        <f t="shared" si="18"/>
        <v>17</v>
      </c>
      <c r="H67" s="21">
        <f t="shared" si="19"/>
        <v>9</v>
      </c>
      <c r="I67" s="29">
        <f t="shared" si="13"/>
        <v>1.032258064516129</v>
      </c>
      <c r="J67" s="29">
        <f t="shared" si="14"/>
        <v>0.11333333333333333</v>
      </c>
      <c r="K67" s="29">
        <f>H67/B67</f>
        <v>0.29032258064516131</v>
      </c>
      <c r="L67" s="29">
        <f>SUM(C67,D67,-C66,-D66)/B67</f>
        <v>1.5806451612903225</v>
      </c>
      <c r="M67" s="21"/>
      <c r="N67" s="34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5"/>
    </row>
    <row r="68" ht="19.5" customHeight="1">
      <c r="A68" s="56"/>
      <c r="B68" s="22">
        <f t="shared" si="16"/>
        <v>-46279</v>
      </c>
      <c r="C68" s="21">
        <v>0</v>
      </c>
      <c r="D68" s="21">
        <v>0</v>
      </c>
      <c r="E68" s="21">
        <v>0</v>
      </c>
      <c r="F68" s="21">
        <f t="shared" si="17"/>
        <v>0</v>
      </c>
      <c r="G68" s="21">
        <f t="shared" si="18"/>
        <v>0</v>
      </c>
      <c r="H68" s="21">
        <f t="shared" si="19"/>
        <v>0</v>
      </c>
      <c r="I68" s="29">
        <f t="shared" si="13"/>
        <v>0</v>
      </c>
      <c r="J68" s="29">
        <f t="shared" si="14"/>
        <v>0</v>
      </c>
      <c r="K68" s="29">
        <f>H68/B68</f>
        <v>0</v>
      </c>
      <c r="L68" s="29">
        <f>SUM(C68,D68,-C67,-D67)</f>
        <v>-208</v>
      </c>
      <c r="M68" s="21"/>
      <c r="N68" s="34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5"/>
    </row>
    <row r="69" ht="19.5" customHeight="1">
      <c r="A69" s="56"/>
      <c r="B69" s="22">
        <f t="shared" si="16"/>
        <v>0</v>
      </c>
      <c r="C69" s="21">
        <v>0</v>
      </c>
      <c r="D69" s="21">
        <v>0</v>
      </c>
      <c r="E69" s="21">
        <v>0</v>
      </c>
      <c r="F69" s="21">
        <f t="shared" si="17"/>
        <v>0</v>
      </c>
      <c r="G69" s="21">
        <f t="shared" si="18"/>
        <v>0</v>
      </c>
      <c r="H69" s="21">
        <f t="shared" si="19"/>
        <v>0</v>
      </c>
      <c r="I69" s="29">
        <f t="shared" si="13"/>
        <v>0</v>
      </c>
      <c r="J69" s="29">
        <f t="shared" si="14"/>
        <v>0</v>
      </c>
      <c r="K69" s="29"/>
      <c r="L69" s="29">
        <f>SUM(C69,D69,-C68,-D68)</f>
        <v>0</v>
      </c>
      <c r="M69" s="21"/>
      <c r="N69" s="34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5"/>
    </row>
    <row r="70" ht="19.5" customHeight="1">
      <c r="A70" s="56"/>
      <c r="B70" s="22">
        <f t="shared" si="16"/>
        <v>0</v>
      </c>
      <c r="C70" s="21">
        <v>0</v>
      </c>
      <c r="D70" s="21">
        <v>0</v>
      </c>
      <c r="E70" s="21">
        <v>0</v>
      </c>
      <c r="F70" s="21">
        <f t="shared" si="17"/>
        <v>0</v>
      </c>
      <c r="G70" s="21">
        <f t="shared" si="18"/>
        <v>0</v>
      </c>
      <c r="H70" s="21">
        <f t="shared" si="19"/>
        <v>0</v>
      </c>
      <c r="I70" s="29">
        <f t="shared" si="13"/>
        <v>0</v>
      </c>
      <c r="J70" s="29">
        <f t="shared" si="14"/>
        <v>0</v>
      </c>
      <c r="K70" s="29"/>
      <c r="L70" s="29">
        <f>SUM(C70,D70,-C69,-D69)</f>
        <v>0</v>
      </c>
      <c r="M70" s="21"/>
      <c r="N70" s="34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5"/>
    </row>
    <row r="71" ht="19.5" customHeight="1">
      <c r="A71" s="56"/>
      <c r="B71" s="22">
        <f t="shared" si="16"/>
        <v>0</v>
      </c>
      <c r="C71" s="21">
        <v>0</v>
      </c>
      <c r="D71" s="21">
        <v>0</v>
      </c>
      <c r="E71" s="21">
        <v>0</v>
      </c>
      <c r="F71" s="21">
        <f t="shared" si="17"/>
        <v>0</v>
      </c>
      <c r="G71" s="21">
        <f t="shared" si="18"/>
        <v>0</v>
      </c>
      <c r="H71" s="21">
        <f t="shared" si="19"/>
        <v>0</v>
      </c>
      <c r="I71" s="29">
        <f t="shared" si="13"/>
        <v>0</v>
      </c>
      <c r="J71" s="29">
        <f t="shared" si="14"/>
        <v>0</v>
      </c>
      <c r="K71" s="29"/>
      <c r="L71" s="29">
        <f>SUM(C71,D71,-C70,-D70)</f>
        <v>0</v>
      </c>
      <c r="M71" s="21"/>
      <c r="N71" s="34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5"/>
    </row>
    <row r="72" ht="19.5" customHeight="1">
      <c r="A72" s="56"/>
      <c r="B72" s="22">
        <f t="shared" si="16"/>
        <v>0</v>
      </c>
      <c r="C72" s="21">
        <v>0</v>
      </c>
      <c r="D72" s="21">
        <v>0</v>
      </c>
      <c r="E72" s="21">
        <v>0</v>
      </c>
      <c r="F72" s="21">
        <f t="shared" si="17"/>
        <v>0</v>
      </c>
      <c r="G72" s="21">
        <f t="shared" si="18"/>
        <v>0</v>
      </c>
      <c r="H72" s="21">
        <f t="shared" si="19"/>
        <v>0</v>
      </c>
      <c r="I72" s="29">
        <f t="shared" si="13"/>
        <v>0</v>
      </c>
      <c r="J72" s="29">
        <f t="shared" si="14"/>
        <v>0</v>
      </c>
      <c r="K72" s="29"/>
      <c r="L72" s="29">
        <f>SUM(C72,D72,-C71,-D71)</f>
        <v>0</v>
      </c>
      <c r="M72" s="21"/>
      <c r="N72" s="34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5"/>
    </row>
    <row r="73" ht="19.5" customHeight="1">
      <c r="A73" s="56"/>
      <c r="B73" s="22">
        <f t="shared" si="16"/>
        <v>0</v>
      </c>
      <c r="C73" s="21">
        <v>0</v>
      </c>
      <c r="D73" s="21">
        <v>0</v>
      </c>
      <c r="E73" s="21">
        <v>0</v>
      </c>
      <c r="F73" s="21">
        <f t="shared" si="17"/>
        <v>0</v>
      </c>
      <c r="G73" s="21">
        <f t="shared" si="18"/>
        <v>0</v>
      </c>
      <c r="H73" s="21">
        <f t="shared" si="19"/>
        <v>0</v>
      </c>
      <c r="I73" s="29">
        <f t="shared" si="13"/>
        <v>0</v>
      </c>
      <c r="J73" s="29">
        <f t="shared" si="14"/>
        <v>0</v>
      </c>
      <c r="K73" s="29"/>
      <c r="L73" s="29">
        <f>SUM(C73,D73,-C72,-D72)</f>
        <v>0</v>
      </c>
      <c r="M73" s="21"/>
      <c r="N73" s="34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5"/>
    </row>
    <row r="74" ht="19.5" customHeight="1">
      <c r="A74" s="56"/>
      <c r="B74" s="22">
        <f t="shared" si="16"/>
        <v>0</v>
      </c>
      <c r="C74" s="21">
        <v>0</v>
      </c>
      <c r="D74" s="21">
        <v>0</v>
      </c>
      <c r="E74" s="21">
        <v>0</v>
      </c>
      <c r="F74" s="21">
        <f t="shared" si="17"/>
        <v>0</v>
      </c>
      <c r="G74" s="21">
        <f t="shared" si="18"/>
        <v>0</v>
      </c>
      <c r="H74" s="21">
        <f t="shared" si="19"/>
        <v>0</v>
      </c>
      <c r="I74" s="29">
        <f t="shared" si="13"/>
        <v>0</v>
      </c>
      <c r="J74" s="29">
        <f t="shared" si="14"/>
        <v>0</v>
      </c>
      <c r="K74" s="29"/>
      <c r="L74" s="29">
        <f>SUM(C74,D74,-C73,-D73)</f>
        <v>0</v>
      </c>
      <c r="M74" s="21"/>
      <c r="N74" s="34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5"/>
    </row>
    <row r="75" ht="19.5" customHeight="1">
      <c r="A75" s="56"/>
      <c r="B75" s="22">
        <f t="shared" si="16"/>
        <v>0</v>
      </c>
      <c r="C75" s="21">
        <v>0</v>
      </c>
      <c r="D75" s="21">
        <v>0</v>
      </c>
      <c r="E75" s="21">
        <v>0</v>
      </c>
      <c r="F75" s="21">
        <f t="shared" si="17"/>
        <v>0</v>
      </c>
      <c r="G75" s="21">
        <f t="shared" si="18"/>
        <v>0</v>
      </c>
      <c r="H75" s="21">
        <f t="shared" si="19"/>
        <v>0</v>
      </c>
      <c r="I75" s="29">
        <f t="shared" si="13"/>
        <v>0</v>
      </c>
      <c r="J75" s="29">
        <f t="shared" si="14"/>
        <v>0</v>
      </c>
      <c r="K75" s="29"/>
      <c r="L75" s="29">
        <f>SUM(C75,D75,-C74,-D74)</f>
        <v>0</v>
      </c>
      <c r="M75" s="21"/>
      <c r="N75" s="34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5"/>
    </row>
    <row r="76" ht="19.5" customHeight="1">
      <c r="A76" s="56"/>
      <c r="B76" s="22">
        <f t="shared" si="16"/>
        <v>0</v>
      </c>
      <c r="C76" s="21">
        <v>0</v>
      </c>
      <c r="D76" s="21">
        <v>0</v>
      </c>
      <c r="E76" s="21">
        <v>0</v>
      </c>
      <c r="F76" s="21">
        <f t="shared" si="17"/>
        <v>0</v>
      </c>
      <c r="G76" s="21">
        <f t="shared" si="18"/>
        <v>0</v>
      </c>
      <c r="H76" s="21">
        <f t="shared" si="19"/>
        <v>0</v>
      </c>
      <c r="I76" s="29">
        <f t="shared" si="13"/>
        <v>0</v>
      </c>
      <c r="J76" s="29">
        <f t="shared" si="14"/>
        <v>0</v>
      </c>
      <c r="K76" s="29"/>
      <c r="L76" s="29">
        <f>SUM(C76,D76,-C75,-D75)</f>
        <v>0</v>
      </c>
      <c r="M76" s="21"/>
      <c r="N76" s="34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5"/>
    </row>
    <row r="77" ht="19.5" customHeight="1">
      <c r="A77" s="56"/>
      <c r="B77" s="22">
        <f t="shared" si="16"/>
        <v>0</v>
      </c>
      <c r="C77" s="21">
        <v>0</v>
      </c>
      <c r="D77" s="21">
        <v>0</v>
      </c>
      <c r="E77" s="21">
        <v>0</v>
      </c>
      <c r="F77" s="21">
        <f t="shared" si="17"/>
        <v>0</v>
      </c>
      <c r="G77" s="21">
        <f t="shared" si="18"/>
        <v>0</v>
      </c>
      <c r="H77" s="21">
        <f t="shared" si="19"/>
        <v>0</v>
      </c>
      <c r="I77" s="29">
        <f t="shared" si="13"/>
        <v>0</v>
      </c>
      <c r="J77" s="29">
        <f t="shared" si="14"/>
        <v>0</v>
      </c>
      <c r="K77" s="29"/>
      <c r="L77" s="29">
        <f>SUM(C77,D77,-C76,-D76)</f>
        <v>0</v>
      </c>
      <c r="M77" s="21"/>
      <c r="N77" s="34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5"/>
    </row>
    <row r="78" ht="19.5" customHeight="1">
      <c r="A78" s="56"/>
      <c r="B78" s="22">
        <f t="shared" si="16"/>
        <v>0</v>
      </c>
      <c r="C78" s="21">
        <v>0</v>
      </c>
      <c r="D78" s="21">
        <v>0</v>
      </c>
      <c r="E78" s="21">
        <v>0</v>
      </c>
      <c r="F78" s="21">
        <f t="shared" si="17"/>
        <v>0</v>
      </c>
      <c r="G78" s="21">
        <f t="shared" si="18"/>
        <v>0</v>
      </c>
      <c r="H78" s="21">
        <f t="shared" si="19"/>
        <v>0</v>
      </c>
      <c r="I78" s="29">
        <f t="shared" si="13"/>
        <v>0</v>
      </c>
      <c r="J78" s="29">
        <f t="shared" si="14"/>
        <v>0</v>
      </c>
      <c r="K78" s="29"/>
      <c r="L78" s="29">
        <f>SUM(C78,D78,-C77,-D77)</f>
        <v>0</v>
      </c>
      <c r="M78" s="21"/>
      <c r="N78" s="34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5"/>
    </row>
    <row r="79" ht="19.5" customHeight="1">
      <c r="A79" s="56"/>
      <c r="B79" s="22">
        <f t="shared" si="16"/>
        <v>0</v>
      </c>
      <c r="C79" s="21">
        <v>0</v>
      </c>
      <c r="D79" s="21">
        <v>0</v>
      </c>
      <c r="E79" s="21">
        <v>0</v>
      </c>
      <c r="F79" s="21">
        <f t="shared" si="17"/>
        <v>0</v>
      </c>
      <c r="G79" s="21">
        <f t="shared" si="18"/>
        <v>0</v>
      </c>
      <c r="H79" s="21">
        <f t="shared" si="19"/>
        <v>0</v>
      </c>
      <c r="I79" s="29">
        <f t="shared" si="13"/>
        <v>0</v>
      </c>
      <c r="J79" s="29">
        <f t="shared" si="14"/>
        <v>0</v>
      </c>
      <c r="K79" s="29"/>
      <c r="L79" s="29">
        <f>SUM(C79,D79,-C78,-D78)</f>
        <v>0</v>
      </c>
      <c r="M79" s="21"/>
      <c r="N79" s="34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5"/>
    </row>
    <row r="80" ht="19.5" customHeight="1">
      <c r="A80" s="56"/>
      <c r="B80" s="22">
        <f t="shared" si="16"/>
        <v>0</v>
      </c>
      <c r="C80" s="21">
        <v>0</v>
      </c>
      <c r="D80" s="21">
        <v>0</v>
      </c>
      <c r="E80" s="21">
        <v>0</v>
      </c>
      <c r="F80" s="21">
        <f t="shared" si="17"/>
        <v>0</v>
      </c>
      <c r="G80" s="21">
        <f t="shared" si="18"/>
        <v>0</v>
      </c>
      <c r="H80" s="21">
        <f t="shared" si="19"/>
        <v>0</v>
      </c>
      <c r="I80" s="29">
        <f t="shared" si="13"/>
        <v>0</v>
      </c>
      <c r="J80" s="29">
        <f t="shared" si="14"/>
        <v>0</v>
      </c>
      <c r="K80" s="29"/>
      <c r="L80" s="29">
        <f>SUM(C80,D80,-C79,-D79)</f>
        <v>0</v>
      </c>
      <c r="M80" s="21"/>
      <c r="N80" s="34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5"/>
    </row>
    <row r="81" ht="19.5" customHeight="1">
      <c r="A81" s="56"/>
      <c r="B81" s="22">
        <f t="shared" si="16"/>
        <v>0</v>
      </c>
      <c r="C81" s="21">
        <v>0</v>
      </c>
      <c r="D81" s="21">
        <v>0</v>
      </c>
      <c r="E81" s="21">
        <v>0</v>
      </c>
      <c r="F81" s="21">
        <f t="shared" si="17"/>
        <v>0</v>
      </c>
      <c r="G81" s="21">
        <f t="shared" si="18"/>
        <v>0</v>
      </c>
      <c r="H81" s="21">
        <f t="shared" si="19"/>
        <v>0</v>
      </c>
      <c r="I81" s="29">
        <f t="shared" si="13"/>
        <v>0</v>
      </c>
      <c r="J81" s="29">
        <f t="shared" si="14"/>
        <v>0</v>
      </c>
      <c r="K81" s="29"/>
      <c r="L81" s="29">
        <f>SUM(C81,D81,-C80,-D80)</f>
        <v>0</v>
      </c>
      <c r="M81" s="21"/>
      <c r="N81" s="34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5"/>
    </row>
    <row r="82" ht="19.5" customHeight="1">
      <c r="A82" s="56"/>
      <c r="B82" s="22">
        <f t="shared" si="16"/>
        <v>0</v>
      </c>
      <c r="C82" s="21">
        <v>0</v>
      </c>
      <c r="D82" s="21">
        <v>0</v>
      </c>
      <c r="E82" s="21">
        <v>0</v>
      </c>
      <c r="F82" s="21">
        <f t="shared" si="17"/>
        <v>0</v>
      </c>
      <c r="G82" s="21">
        <f t="shared" si="18"/>
        <v>0</v>
      </c>
      <c r="H82" s="21">
        <f t="shared" si="19"/>
        <v>0</v>
      </c>
      <c r="I82" s="29">
        <f t="shared" si="13"/>
        <v>0</v>
      </c>
      <c r="J82" s="29">
        <f t="shared" si="14"/>
        <v>0</v>
      </c>
      <c r="K82" s="29"/>
      <c r="L82" s="29">
        <f>SUM(C82,D82,-C81,-D81)</f>
        <v>0</v>
      </c>
      <c r="M82" s="21"/>
      <c r="N82" s="34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5"/>
    </row>
    <row r="83" ht="19.5" customHeight="1">
      <c r="A83" s="56"/>
      <c r="B83" s="22">
        <f t="shared" si="16"/>
        <v>0</v>
      </c>
      <c r="C83" s="21">
        <v>0</v>
      </c>
      <c r="D83" s="21">
        <v>0</v>
      </c>
      <c r="E83" s="21">
        <v>0</v>
      </c>
      <c r="F83" s="21">
        <f t="shared" si="17"/>
        <v>0</v>
      </c>
      <c r="G83" s="21">
        <f t="shared" si="18"/>
        <v>0</v>
      </c>
      <c r="H83" s="21">
        <f t="shared" si="19"/>
        <v>0</v>
      </c>
      <c r="I83" s="29">
        <f t="shared" si="13"/>
        <v>0</v>
      </c>
      <c r="J83" s="29">
        <f t="shared" si="14"/>
        <v>0</v>
      </c>
      <c r="K83" s="29"/>
      <c r="L83" s="29">
        <f>SUM(C83,D83,-C82,-D82)</f>
        <v>0</v>
      </c>
      <c r="M83" s="21"/>
      <c r="N83" s="34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5"/>
    </row>
    <row r="84" ht="19.5" customHeight="1">
      <c r="A84" s="56"/>
      <c r="B84" s="22">
        <f t="shared" si="16"/>
        <v>0</v>
      </c>
      <c r="C84" s="21">
        <v>0</v>
      </c>
      <c r="D84" s="21">
        <v>0</v>
      </c>
      <c r="E84" s="21">
        <v>0</v>
      </c>
      <c r="F84" s="21">
        <f t="shared" si="17"/>
        <v>0</v>
      </c>
      <c r="G84" s="21">
        <f t="shared" si="18"/>
        <v>0</v>
      </c>
      <c r="H84" s="21">
        <f t="shared" si="19"/>
        <v>0</v>
      </c>
      <c r="I84" s="29">
        <f t="shared" si="13"/>
        <v>0</v>
      </c>
      <c r="J84" s="29">
        <f t="shared" si="14"/>
        <v>0</v>
      </c>
      <c r="K84" s="29"/>
      <c r="L84" s="29">
        <f>SUM(C84,D84,-C83,-D83)</f>
        <v>0</v>
      </c>
      <c r="M84" s="21"/>
      <c r="N84" s="34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5"/>
    </row>
    <row r="85" ht="19.5" customHeight="1">
      <c r="A85" s="56"/>
      <c r="B85" s="22">
        <f t="shared" si="16"/>
        <v>0</v>
      </c>
      <c r="C85" s="21">
        <v>0</v>
      </c>
      <c r="D85" s="21">
        <v>0</v>
      </c>
      <c r="E85" s="21">
        <v>0</v>
      </c>
      <c r="F85" s="21">
        <f t="shared" si="17"/>
        <v>0</v>
      </c>
      <c r="G85" s="21">
        <f t="shared" si="18"/>
        <v>0</v>
      </c>
      <c r="H85" s="21">
        <f t="shared" si="19"/>
        <v>0</v>
      </c>
      <c r="I85" s="29">
        <f t="shared" si="13"/>
        <v>0</v>
      </c>
      <c r="J85" s="29">
        <f t="shared" si="14"/>
        <v>0</v>
      </c>
      <c r="K85" s="29"/>
      <c r="L85" s="29">
        <f>SUM(C85,D85,-C84,-D84)</f>
        <v>0</v>
      </c>
      <c r="M85" s="21"/>
      <c r="N85" s="34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5"/>
    </row>
    <row r="86" ht="19.5" customHeight="1">
      <c r="A86" s="56"/>
      <c r="B86" s="22">
        <f t="shared" si="16"/>
        <v>0</v>
      </c>
      <c r="C86" s="21">
        <v>0</v>
      </c>
      <c r="D86" s="21">
        <v>0</v>
      </c>
      <c r="E86" s="21">
        <v>0</v>
      </c>
      <c r="F86" s="21">
        <f t="shared" si="17"/>
        <v>0</v>
      </c>
      <c r="G86" s="21">
        <f t="shared" si="18"/>
        <v>0</v>
      </c>
      <c r="H86" s="21">
        <f t="shared" si="19"/>
        <v>0</v>
      </c>
      <c r="I86" s="29">
        <f t="shared" si="13"/>
        <v>0</v>
      </c>
      <c r="J86" s="29">
        <f t="shared" si="14"/>
        <v>0</v>
      </c>
      <c r="K86" s="29"/>
      <c r="L86" s="29">
        <f>SUM(C86,D86,-C85,-D85)</f>
        <v>0</v>
      </c>
      <c r="M86" s="21"/>
      <c r="N86" s="34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5"/>
    </row>
    <row r="87" ht="19.5" customHeight="1">
      <c r="A87" s="56"/>
      <c r="B87" s="22">
        <f t="shared" si="16"/>
        <v>0</v>
      </c>
      <c r="C87" s="21">
        <v>0</v>
      </c>
      <c r="D87" s="21">
        <v>0</v>
      </c>
      <c r="E87" s="21">
        <v>0</v>
      </c>
      <c r="F87" s="21">
        <f t="shared" si="17"/>
        <v>0</v>
      </c>
      <c r="G87" s="21">
        <f t="shared" si="18"/>
        <v>0</v>
      </c>
      <c r="H87" s="21">
        <f t="shared" si="19"/>
        <v>0</v>
      </c>
      <c r="I87" s="29">
        <f t="shared" si="13"/>
        <v>0</v>
      </c>
      <c r="J87" s="29">
        <f t="shared" si="14"/>
        <v>0</v>
      </c>
      <c r="K87" s="29"/>
      <c r="L87" s="29">
        <f>SUM(C87,D87,-C86,-D86)</f>
        <v>0</v>
      </c>
      <c r="M87" s="21"/>
      <c r="N87" s="34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5"/>
    </row>
    <row r="88" ht="19.5" customHeight="1">
      <c r="A88" s="56"/>
      <c r="B88" s="22">
        <f t="shared" si="16"/>
        <v>0</v>
      </c>
      <c r="C88" s="21">
        <v>0</v>
      </c>
      <c r="D88" s="21">
        <v>0</v>
      </c>
      <c r="E88" s="21">
        <v>0</v>
      </c>
      <c r="F88" s="21">
        <f t="shared" si="17"/>
        <v>0</v>
      </c>
      <c r="G88" s="21">
        <f t="shared" si="18"/>
        <v>0</v>
      </c>
      <c r="H88" s="21">
        <f t="shared" si="19"/>
        <v>0</v>
      </c>
      <c r="I88" s="29">
        <f t="shared" si="13"/>
        <v>0</v>
      </c>
      <c r="J88" s="29">
        <f t="shared" si="14"/>
        <v>0</v>
      </c>
      <c r="K88" s="29"/>
      <c r="L88" s="29"/>
      <c r="M88" s="21"/>
      <c r="N88" s="34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5"/>
    </row>
    <row r="89" ht="19.5" customHeight="1">
      <c r="A89" s="56"/>
      <c r="B89" s="22">
        <f t="shared" si="16"/>
        <v>0</v>
      </c>
      <c r="C89" s="21">
        <v>0</v>
      </c>
      <c r="D89" s="21">
        <v>0</v>
      </c>
      <c r="E89" s="21">
        <v>0</v>
      </c>
      <c r="F89" s="21">
        <f t="shared" si="17"/>
        <v>0</v>
      </c>
      <c r="G89" s="21">
        <f t="shared" si="18"/>
        <v>0</v>
      </c>
      <c r="H89" s="21">
        <f t="shared" si="19"/>
        <v>0</v>
      </c>
      <c r="I89" s="29">
        <f t="shared" si="13"/>
        <v>0</v>
      </c>
      <c r="J89" s="29">
        <f t="shared" si="14"/>
        <v>0</v>
      </c>
      <c r="K89" s="29"/>
      <c r="L89" s="29"/>
      <c r="M89" s="21"/>
      <c r="N89" s="34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5"/>
    </row>
    <row r="90" ht="19.5" customHeight="1">
      <c r="A90" s="56"/>
      <c r="B90" s="22">
        <f t="shared" si="16"/>
        <v>0</v>
      </c>
      <c r="C90" s="21">
        <v>0</v>
      </c>
      <c r="D90" s="21">
        <v>0</v>
      </c>
      <c r="E90" s="21">
        <v>0</v>
      </c>
      <c r="F90" s="21">
        <f t="shared" si="17"/>
        <v>0</v>
      </c>
      <c r="G90" s="21">
        <f t="shared" si="18"/>
        <v>0</v>
      </c>
      <c r="H90" s="21">
        <f t="shared" si="19"/>
        <v>0</v>
      </c>
      <c r="I90" s="29">
        <f t="shared" si="13"/>
        <v>0</v>
      </c>
      <c r="J90" s="29">
        <f t="shared" si="14"/>
        <v>0</v>
      </c>
      <c r="K90" s="29"/>
      <c r="L90" s="29"/>
      <c r="M90" s="21"/>
      <c r="N90" s="34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5"/>
    </row>
    <row r="91" ht="19.5" customHeight="1">
      <c r="A91" s="56"/>
      <c r="B91" s="22">
        <f t="shared" si="16"/>
        <v>0</v>
      </c>
      <c r="C91" s="21">
        <v>0</v>
      </c>
      <c r="D91" s="21">
        <v>0</v>
      </c>
      <c r="E91" s="21">
        <v>0</v>
      </c>
      <c r="F91" s="21">
        <f t="shared" si="17"/>
        <v>0</v>
      </c>
      <c r="G91" s="21">
        <f t="shared" si="18"/>
        <v>0</v>
      </c>
      <c r="H91" s="21">
        <f t="shared" si="19"/>
        <v>0</v>
      </c>
      <c r="I91" s="29">
        <f t="shared" si="13"/>
        <v>0</v>
      </c>
      <c r="J91" s="29">
        <f t="shared" si="14"/>
        <v>0</v>
      </c>
      <c r="K91" s="29"/>
      <c r="L91" s="29"/>
      <c r="M91" s="21"/>
      <c r="N91" s="34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5"/>
    </row>
    <row r="92" ht="19.5" customHeight="1">
      <c r="A92" s="56"/>
      <c r="B92" s="22">
        <f t="shared" si="16"/>
        <v>0</v>
      </c>
      <c r="C92" s="21">
        <v>0</v>
      </c>
      <c r="D92" s="21">
        <v>0</v>
      </c>
      <c r="E92" s="21">
        <v>0</v>
      </c>
      <c r="F92" s="21">
        <f t="shared" si="17"/>
        <v>0</v>
      </c>
      <c r="G92" s="21">
        <f t="shared" si="18"/>
        <v>0</v>
      </c>
      <c r="H92" s="21">
        <f t="shared" si="19"/>
        <v>0</v>
      </c>
      <c r="I92" s="29">
        <f t="shared" si="13"/>
        <v>0</v>
      </c>
      <c r="J92" s="29">
        <f t="shared" si="14"/>
        <v>0</v>
      </c>
      <c r="K92" s="29"/>
      <c r="L92" s="29"/>
      <c r="M92" s="21"/>
      <c r="N92" s="34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5"/>
    </row>
    <row r="93" ht="19.5" customHeight="1">
      <c r="A93" s="56"/>
      <c r="B93" s="22">
        <f t="shared" si="16"/>
        <v>0</v>
      </c>
      <c r="C93" s="21">
        <v>0</v>
      </c>
      <c r="D93" s="21">
        <v>0</v>
      </c>
      <c r="E93" s="21">
        <v>0</v>
      </c>
      <c r="F93" s="21">
        <f t="shared" si="17"/>
        <v>0</v>
      </c>
      <c r="G93" s="21">
        <f t="shared" si="18"/>
        <v>0</v>
      </c>
      <c r="H93" s="21">
        <f t="shared" si="19"/>
        <v>0</v>
      </c>
      <c r="I93" s="29">
        <f t="shared" si="13"/>
        <v>0</v>
      </c>
      <c r="J93" s="29">
        <f t="shared" si="14"/>
        <v>0</v>
      </c>
      <c r="K93" s="29"/>
      <c r="L93" s="29"/>
      <c r="M93" s="21"/>
      <c r="N93" s="34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5"/>
    </row>
    <row r="94" ht="19.5" customHeight="1">
      <c r="A94" s="56"/>
      <c r="B94" s="22">
        <f t="shared" si="16"/>
        <v>0</v>
      </c>
      <c r="C94" s="21">
        <v>0</v>
      </c>
      <c r="D94" s="21">
        <v>0</v>
      </c>
      <c r="E94" s="21">
        <v>0</v>
      </c>
      <c r="F94" s="21">
        <f t="shared" si="17"/>
        <v>0</v>
      </c>
      <c r="G94" s="21">
        <f t="shared" si="18"/>
        <v>0</v>
      </c>
      <c r="H94" s="21">
        <f t="shared" si="19"/>
        <v>0</v>
      </c>
      <c r="I94" s="29">
        <f t="shared" si="13"/>
        <v>0</v>
      </c>
      <c r="J94" s="29">
        <f t="shared" si="14"/>
        <v>0</v>
      </c>
      <c r="K94" s="29"/>
      <c r="L94" s="29"/>
      <c r="M94" s="21"/>
      <c r="N94" s="34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5"/>
    </row>
    <row r="95" ht="19.5" customHeight="1">
      <c r="A95" s="56"/>
      <c r="B95" s="22">
        <f t="shared" si="16"/>
        <v>0</v>
      </c>
      <c r="C95" s="21">
        <v>0</v>
      </c>
      <c r="D95" s="21">
        <v>0</v>
      </c>
      <c r="E95" s="21">
        <v>0</v>
      </c>
      <c r="F95" s="21">
        <f t="shared" si="17"/>
        <v>0</v>
      </c>
      <c r="G95" s="21">
        <f t="shared" si="18"/>
        <v>0</v>
      </c>
      <c r="H95" s="21">
        <f t="shared" si="19"/>
        <v>0</v>
      </c>
      <c r="I95" s="29">
        <f t="shared" si="13"/>
        <v>0</v>
      </c>
      <c r="J95" s="29">
        <f t="shared" si="14"/>
        <v>0</v>
      </c>
      <c r="K95" s="29"/>
      <c r="L95" s="29"/>
      <c r="M95" s="21"/>
      <c r="N95" s="34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5"/>
    </row>
    <row r="96" ht="19.5" customHeight="1">
      <c r="A96" s="56"/>
      <c r="B96" s="22">
        <f t="shared" si="16"/>
        <v>0</v>
      </c>
      <c r="C96" s="21">
        <v>0</v>
      </c>
      <c r="D96" s="21">
        <v>0</v>
      </c>
      <c r="E96" s="21">
        <v>0</v>
      </c>
      <c r="F96" s="21">
        <f t="shared" si="17"/>
        <v>0</v>
      </c>
      <c r="G96" s="21">
        <f t="shared" si="18"/>
        <v>0</v>
      </c>
      <c r="H96" s="21">
        <f t="shared" si="19"/>
        <v>0</v>
      </c>
      <c r="I96" s="29">
        <f t="shared" si="13"/>
        <v>0</v>
      </c>
      <c r="J96" s="29">
        <f t="shared" si="14"/>
        <v>0</v>
      </c>
      <c r="K96" s="29"/>
      <c r="L96" s="29"/>
      <c r="M96" s="21"/>
      <c r="N96" s="34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5"/>
    </row>
    <row r="97" ht="19.5" customHeight="1">
      <c r="A97" s="56"/>
      <c r="B97" s="22">
        <f t="shared" si="16"/>
        <v>0</v>
      </c>
      <c r="C97" s="21">
        <v>0</v>
      </c>
      <c r="D97" s="21">
        <v>0</v>
      </c>
      <c r="E97" s="21">
        <v>0</v>
      </c>
      <c r="F97" s="21">
        <f t="shared" si="17"/>
        <v>0</v>
      </c>
      <c r="G97" s="21">
        <f t="shared" si="18"/>
        <v>0</v>
      </c>
      <c r="H97" s="21">
        <f t="shared" si="19"/>
        <v>0</v>
      </c>
      <c r="I97" s="29">
        <f t="shared" si="13"/>
        <v>0</v>
      </c>
      <c r="J97" s="29">
        <f t="shared" si="14"/>
        <v>0</v>
      </c>
      <c r="K97" s="29"/>
      <c r="L97" s="29"/>
      <c r="M97" s="21"/>
      <c r="N97" s="34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5"/>
    </row>
    <row r="98" ht="19.5" customHeight="1">
      <c r="A98" s="56"/>
      <c r="B98" s="22">
        <f t="shared" si="16"/>
        <v>0</v>
      </c>
      <c r="C98" s="21">
        <v>0</v>
      </c>
      <c r="D98" s="21">
        <v>0</v>
      </c>
      <c r="E98" s="21">
        <v>0</v>
      </c>
      <c r="F98" s="21">
        <f t="shared" si="17"/>
        <v>0</v>
      </c>
      <c r="G98" s="21">
        <f t="shared" si="18"/>
        <v>0</v>
      </c>
      <c r="H98" s="21">
        <f t="shared" si="19"/>
        <v>0</v>
      </c>
      <c r="I98" s="29">
        <f t="shared" si="13"/>
        <v>0</v>
      </c>
      <c r="J98" s="29">
        <f t="shared" si="14"/>
        <v>0</v>
      </c>
      <c r="K98" s="29"/>
      <c r="L98" s="29"/>
      <c r="M98" s="21"/>
      <c r="N98" s="34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5"/>
    </row>
    <row r="99" ht="19.5" customHeight="1">
      <c r="A99" s="56"/>
      <c r="B99" s="22">
        <f t="shared" si="16"/>
        <v>0</v>
      </c>
      <c r="C99" s="21">
        <v>0</v>
      </c>
      <c r="D99" s="21">
        <v>0</v>
      </c>
      <c r="E99" s="21">
        <v>0</v>
      </c>
      <c r="F99" s="21">
        <f t="shared" si="17"/>
        <v>0</v>
      </c>
      <c r="G99" s="21">
        <f t="shared" si="18"/>
        <v>0</v>
      </c>
      <c r="H99" s="21">
        <f t="shared" si="19"/>
        <v>0</v>
      </c>
      <c r="I99" s="29">
        <f t="shared" si="13"/>
        <v>0</v>
      </c>
      <c r="J99" s="29">
        <f t="shared" si="14"/>
        <v>0</v>
      </c>
      <c r="K99" s="29"/>
      <c r="L99" s="29"/>
      <c r="M99" s="21"/>
      <c r="N99" s="34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5"/>
    </row>
    <row r="100" ht="19.5" customHeight="1">
      <c r="A100" s="56"/>
      <c r="B100" s="22">
        <f t="shared" si="16"/>
        <v>0</v>
      </c>
      <c r="C100" s="21">
        <v>0</v>
      </c>
      <c r="D100" s="21">
        <v>0</v>
      </c>
      <c r="E100" s="21">
        <v>0</v>
      </c>
      <c r="F100" s="21">
        <f t="shared" si="17"/>
        <v>0</v>
      </c>
      <c r="G100" s="21">
        <f t="shared" si="18"/>
        <v>0</v>
      </c>
      <c r="H100" s="21">
        <f t="shared" si="19"/>
        <v>0</v>
      </c>
      <c r="I100" s="29">
        <f t="shared" si="13"/>
        <v>0</v>
      </c>
      <c r="J100" s="29">
        <f t="shared" si="14"/>
        <v>0</v>
      </c>
      <c r="K100" s="29"/>
      <c r="L100" s="29"/>
      <c r="M100" s="21"/>
      <c r="N100" s="34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5"/>
    </row>
    <row r="101" ht="19.5" customHeight="1">
      <c r="A101" s="56"/>
      <c r="B101" s="22">
        <f t="shared" ref="B101:B115" si="20">A101-A100</f>
        <v>0</v>
      </c>
      <c r="C101" s="21">
        <v>0</v>
      </c>
      <c r="D101" s="21">
        <v>0</v>
      </c>
      <c r="E101" s="21">
        <v>0</v>
      </c>
      <c r="F101" s="21">
        <f t="shared" ref="F101:F115" si="21">IF(C101&gt;0,C101-C100,0)</f>
        <v>0</v>
      </c>
      <c r="G101" s="21">
        <f t="shared" ref="G101:G115" si="22">IF(D101&gt;0,D101-D100,0)</f>
        <v>0</v>
      </c>
      <c r="H101" s="21">
        <f t="shared" ref="H101:H115" si="23">IF(E101&gt;0,E101-E100,0)</f>
        <v>0</v>
      </c>
      <c r="I101" s="29">
        <f t="shared" ref="I101:I115" si="24">IF(F101&gt;0,F101/B101,0)</f>
        <v>0</v>
      </c>
      <c r="J101" s="29">
        <f t="shared" ref="J101:J115" si="25">IF(G101&gt;0,G101/C101,0)</f>
        <v>0</v>
      </c>
      <c r="K101" s="29"/>
      <c r="L101" s="29"/>
      <c r="M101" s="21"/>
      <c r="N101" s="34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5"/>
    </row>
    <row r="102" ht="19.5" customHeight="1">
      <c r="A102" s="56"/>
      <c r="B102" s="22">
        <f t="shared" si="20"/>
        <v>0</v>
      </c>
      <c r="C102" s="21">
        <v>0</v>
      </c>
      <c r="D102" s="21">
        <v>0</v>
      </c>
      <c r="E102" s="21">
        <v>0</v>
      </c>
      <c r="F102" s="21">
        <f t="shared" si="21"/>
        <v>0</v>
      </c>
      <c r="G102" s="21">
        <f t="shared" si="22"/>
        <v>0</v>
      </c>
      <c r="H102" s="21">
        <f t="shared" si="23"/>
        <v>0</v>
      </c>
      <c r="I102" s="29">
        <f t="shared" si="24"/>
        <v>0</v>
      </c>
      <c r="J102" s="29">
        <f t="shared" si="25"/>
        <v>0</v>
      </c>
      <c r="K102" s="29"/>
      <c r="L102" s="29"/>
      <c r="M102" s="21"/>
      <c r="N102" s="34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5"/>
    </row>
    <row r="103" ht="19.5" customHeight="1">
      <c r="A103" s="56"/>
      <c r="B103" s="22">
        <f t="shared" si="20"/>
        <v>0</v>
      </c>
      <c r="C103" s="21">
        <v>0</v>
      </c>
      <c r="D103" s="21">
        <v>0</v>
      </c>
      <c r="E103" s="21">
        <v>0</v>
      </c>
      <c r="F103" s="21">
        <f t="shared" si="21"/>
        <v>0</v>
      </c>
      <c r="G103" s="21">
        <f t="shared" si="22"/>
        <v>0</v>
      </c>
      <c r="H103" s="21">
        <f t="shared" si="23"/>
        <v>0</v>
      </c>
      <c r="I103" s="29">
        <f t="shared" si="24"/>
        <v>0</v>
      </c>
      <c r="J103" s="29">
        <f t="shared" si="25"/>
        <v>0</v>
      </c>
      <c r="K103" s="29"/>
      <c r="L103" s="29"/>
      <c r="M103" s="21"/>
      <c r="N103" s="34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5"/>
    </row>
    <row r="104" ht="19.5" customHeight="1">
      <c r="A104" s="56"/>
      <c r="B104" s="22">
        <f t="shared" si="20"/>
        <v>0</v>
      </c>
      <c r="C104" s="21">
        <v>0</v>
      </c>
      <c r="D104" s="21">
        <v>0</v>
      </c>
      <c r="E104" s="21">
        <v>0</v>
      </c>
      <c r="F104" s="21">
        <f t="shared" si="21"/>
        <v>0</v>
      </c>
      <c r="G104" s="21">
        <f t="shared" si="22"/>
        <v>0</v>
      </c>
      <c r="H104" s="21">
        <f t="shared" si="23"/>
        <v>0</v>
      </c>
      <c r="I104" s="29">
        <f t="shared" si="24"/>
        <v>0</v>
      </c>
      <c r="J104" s="29">
        <f t="shared" si="25"/>
        <v>0</v>
      </c>
      <c r="K104" s="29"/>
      <c r="L104" s="29"/>
      <c r="M104" s="21"/>
      <c r="N104" s="34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5"/>
    </row>
    <row r="105" ht="19.5" customHeight="1">
      <c r="A105" s="56"/>
      <c r="B105" s="22">
        <f t="shared" si="20"/>
        <v>0</v>
      </c>
      <c r="C105" s="21">
        <v>0</v>
      </c>
      <c r="D105" s="21">
        <v>0</v>
      </c>
      <c r="E105" s="21">
        <v>0</v>
      </c>
      <c r="F105" s="21">
        <f t="shared" si="21"/>
        <v>0</v>
      </c>
      <c r="G105" s="21">
        <f t="shared" si="22"/>
        <v>0</v>
      </c>
      <c r="H105" s="21">
        <f t="shared" si="23"/>
        <v>0</v>
      </c>
      <c r="I105" s="29">
        <f t="shared" si="24"/>
        <v>0</v>
      </c>
      <c r="J105" s="29">
        <f t="shared" si="25"/>
        <v>0</v>
      </c>
      <c r="K105" s="29"/>
      <c r="L105" s="29"/>
      <c r="M105" s="21"/>
      <c r="N105" s="34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5"/>
    </row>
    <row r="106" ht="19.5" customHeight="1">
      <c r="A106" s="56"/>
      <c r="B106" s="22">
        <f t="shared" si="20"/>
        <v>0</v>
      </c>
      <c r="C106" s="21">
        <v>0</v>
      </c>
      <c r="D106" s="21">
        <v>0</v>
      </c>
      <c r="E106" s="21">
        <v>0</v>
      </c>
      <c r="F106" s="21">
        <f t="shared" si="21"/>
        <v>0</v>
      </c>
      <c r="G106" s="21">
        <f t="shared" si="22"/>
        <v>0</v>
      </c>
      <c r="H106" s="21">
        <f t="shared" si="23"/>
        <v>0</v>
      </c>
      <c r="I106" s="29">
        <f t="shared" si="24"/>
        <v>0</v>
      </c>
      <c r="J106" s="29">
        <f t="shared" si="25"/>
        <v>0</v>
      </c>
      <c r="K106" s="29"/>
      <c r="L106" s="29"/>
      <c r="M106" s="21"/>
      <c r="N106" s="34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5"/>
    </row>
    <row r="107" ht="19.5" customHeight="1">
      <c r="A107" s="56"/>
      <c r="B107" s="22">
        <f t="shared" si="20"/>
        <v>0</v>
      </c>
      <c r="C107" s="21">
        <v>0</v>
      </c>
      <c r="D107" s="21">
        <v>0</v>
      </c>
      <c r="E107" s="21">
        <v>0</v>
      </c>
      <c r="F107" s="21">
        <f t="shared" si="21"/>
        <v>0</v>
      </c>
      <c r="G107" s="21">
        <f t="shared" si="22"/>
        <v>0</v>
      </c>
      <c r="H107" s="21">
        <f t="shared" si="23"/>
        <v>0</v>
      </c>
      <c r="I107" s="29">
        <f t="shared" si="24"/>
        <v>0</v>
      </c>
      <c r="J107" s="29">
        <f t="shared" si="25"/>
        <v>0</v>
      </c>
      <c r="K107" s="29"/>
      <c r="L107" s="29"/>
      <c r="M107" s="21"/>
      <c r="N107" s="34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5"/>
    </row>
    <row r="108" ht="19.5" customHeight="1">
      <c r="A108" s="56"/>
      <c r="B108" s="22">
        <f t="shared" si="20"/>
        <v>0</v>
      </c>
      <c r="C108" s="21">
        <v>0</v>
      </c>
      <c r="D108" s="21">
        <v>0</v>
      </c>
      <c r="E108" s="21">
        <v>0</v>
      </c>
      <c r="F108" s="21">
        <f t="shared" si="21"/>
        <v>0</v>
      </c>
      <c r="G108" s="21">
        <f t="shared" si="22"/>
        <v>0</v>
      </c>
      <c r="H108" s="21">
        <f t="shared" si="23"/>
        <v>0</v>
      </c>
      <c r="I108" s="29">
        <f t="shared" si="24"/>
        <v>0</v>
      </c>
      <c r="J108" s="29">
        <f t="shared" si="25"/>
        <v>0</v>
      </c>
      <c r="K108" s="29"/>
      <c r="L108" s="29"/>
      <c r="M108" s="21"/>
      <c r="N108" s="34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5"/>
    </row>
    <row r="109" ht="19.5" customHeight="1">
      <c r="A109" s="56"/>
      <c r="B109" s="22">
        <f t="shared" si="20"/>
        <v>0</v>
      </c>
      <c r="C109" s="21">
        <v>0</v>
      </c>
      <c r="D109" s="21">
        <v>0</v>
      </c>
      <c r="E109" s="21">
        <v>0</v>
      </c>
      <c r="F109" s="21">
        <f t="shared" si="21"/>
        <v>0</v>
      </c>
      <c r="G109" s="21">
        <f t="shared" si="22"/>
        <v>0</v>
      </c>
      <c r="H109" s="21">
        <f t="shared" si="23"/>
        <v>0</v>
      </c>
      <c r="I109" s="29">
        <f t="shared" si="24"/>
        <v>0</v>
      </c>
      <c r="J109" s="29">
        <f t="shared" si="25"/>
        <v>0</v>
      </c>
      <c r="K109" s="29"/>
      <c r="L109" s="29"/>
      <c r="M109" s="21"/>
      <c r="N109" s="34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5"/>
    </row>
    <row r="110" ht="19.5" customHeight="1">
      <c r="A110" s="56"/>
      <c r="B110" s="22">
        <f t="shared" si="20"/>
        <v>0</v>
      </c>
      <c r="C110" s="21">
        <v>0</v>
      </c>
      <c r="D110" s="21">
        <v>0</v>
      </c>
      <c r="E110" s="21">
        <v>0</v>
      </c>
      <c r="F110" s="21">
        <f t="shared" si="21"/>
        <v>0</v>
      </c>
      <c r="G110" s="21">
        <f t="shared" si="22"/>
        <v>0</v>
      </c>
      <c r="H110" s="21">
        <f t="shared" si="23"/>
        <v>0</v>
      </c>
      <c r="I110" s="29">
        <f t="shared" si="24"/>
        <v>0</v>
      </c>
      <c r="J110" s="29">
        <f t="shared" si="25"/>
        <v>0</v>
      </c>
      <c r="K110" s="29"/>
      <c r="L110" s="29"/>
      <c r="M110" s="21"/>
      <c r="N110" s="34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5"/>
    </row>
    <row r="111" ht="19.5" customHeight="1">
      <c r="A111" s="56"/>
      <c r="B111" s="22">
        <f t="shared" si="20"/>
        <v>0</v>
      </c>
      <c r="C111" s="21">
        <v>0</v>
      </c>
      <c r="D111" s="21">
        <v>0</v>
      </c>
      <c r="E111" s="21">
        <v>0</v>
      </c>
      <c r="F111" s="21">
        <f t="shared" si="21"/>
        <v>0</v>
      </c>
      <c r="G111" s="21">
        <f t="shared" si="22"/>
        <v>0</v>
      </c>
      <c r="H111" s="21">
        <f t="shared" si="23"/>
        <v>0</v>
      </c>
      <c r="I111" s="29">
        <f t="shared" si="24"/>
        <v>0</v>
      </c>
      <c r="J111" s="29">
        <f t="shared" si="25"/>
        <v>0</v>
      </c>
      <c r="K111" s="29"/>
      <c r="L111" s="29"/>
      <c r="M111" s="21"/>
      <c r="N111" s="34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5"/>
    </row>
    <row r="112" ht="19.5" customHeight="1">
      <c r="A112" s="56"/>
      <c r="B112" s="22">
        <f t="shared" si="20"/>
        <v>0</v>
      </c>
      <c r="C112" s="21">
        <v>0</v>
      </c>
      <c r="D112" s="21">
        <v>0</v>
      </c>
      <c r="E112" s="21">
        <v>0</v>
      </c>
      <c r="F112" s="21">
        <f t="shared" si="21"/>
        <v>0</v>
      </c>
      <c r="G112" s="21">
        <f t="shared" si="22"/>
        <v>0</v>
      </c>
      <c r="H112" s="21">
        <f t="shared" si="23"/>
        <v>0</v>
      </c>
      <c r="I112" s="29">
        <f t="shared" si="24"/>
        <v>0</v>
      </c>
      <c r="J112" s="29">
        <f t="shared" si="25"/>
        <v>0</v>
      </c>
      <c r="K112" s="29"/>
      <c r="L112" s="29"/>
      <c r="M112" s="21"/>
      <c r="N112" s="34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5"/>
    </row>
    <row r="113" ht="19.5" customHeight="1">
      <c r="A113" s="56"/>
      <c r="B113" s="22">
        <f t="shared" si="20"/>
        <v>0</v>
      </c>
      <c r="C113" s="21">
        <v>0</v>
      </c>
      <c r="D113" s="21">
        <v>0</v>
      </c>
      <c r="E113" s="21">
        <v>0</v>
      </c>
      <c r="F113" s="21">
        <f t="shared" si="21"/>
        <v>0</v>
      </c>
      <c r="G113" s="21">
        <f t="shared" si="22"/>
        <v>0</v>
      </c>
      <c r="H113" s="21">
        <f t="shared" si="23"/>
        <v>0</v>
      </c>
      <c r="I113" s="29">
        <f t="shared" si="24"/>
        <v>0</v>
      </c>
      <c r="J113" s="29">
        <f t="shared" si="25"/>
        <v>0</v>
      </c>
      <c r="K113" s="29"/>
      <c r="L113" s="29"/>
      <c r="M113" s="21"/>
      <c r="N113" s="34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5"/>
    </row>
    <row r="114" ht="19.5" customHeight="1">
      <c r="A114" s="56"/>
      <c r="B114" s="22">
        <f t="shared" si="20"/>
        <v>0</v>
      </c>
      <c r="C114" s="21">
        <v>0</v>
      </c>
      <c r="D114" s="21">
        <v>0</v>
      </c>
      <c r="E114" s="21">
        <v>0</v>
      </c>
      <c r="F114" s="21">
        <f t="shared" si="21"/>
        <v>0</v>
      </c>
      <c r="G114" s="21">
        <f t="shared" si="22"/>
        <v>0</v>
      </c>
      <c r="H114" s="21">
        <f t="shared" si="23"/>
        <v>0</v>
      </c>
      <c r="I114" s="29">
        <f t="shared" si="24"/>
        <v>0</v>
      </c>
      <c r="J114" s="29">
        <f t="shared" si="25"/>
        <v>0</v>
      </c>
      <c r="K114" s="29"/>
      <c r="L114" s="29"/>
      <c r="M114" s="21"/>
      <c r="N114" s="34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5"/>
    </row>
    <row r="115" ht="19.5" customHeight="1">
      <c r="A115" s="56"/>
      <c r="B115" s="22">
        <f t="shared" si="20"/>
        <v>0</v>
      </c>
      <c r="C115" s="21">
        <v>0</v>
      </c>
      <c r="D115" s="21">
        <v>0</v>
      </c>
      <c r="E115" s="21">
        <v>0</v>
      </c>
      <c r="F115" s="21">
        <f t="shared" si="21"/>
        <v>0</v>
      </c>
      <c r="G115" s="21">
        <f t="shared" si="22"/>
        <v>0</v>
      </c>
      <c r="H115" s="21">
        <f t="shared" si="23"/>
        <v>0</v>
      </c>
      <c r="I115" s="29">
        <f t="shared" si="24"/>
        <v>0</v>
      </c>
      <c r="J115" s="29">
        <f t="shared" si="25"/>
        <v>0</v>
      </c>
      <c r="K115" s="29"/>
      <c r="L115" s="29"/>
      <c r="M115" s="21"/>
      <c r="N115" s="34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5"/>
    </row>
    <row r="116" ht="19.5" customHeight="1">
      <c r="A116" s="56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34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5"/>
    </row>
    <row r="117" ht="19.5" customHeight="1">
      <c r="A117" s="56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34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5"/>
    </row>
    <row r="118" ht="19.5" customHeight="1">
      <c r="A118" s="56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34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5"/>
    </row>
    <row r="119" ht="19.5" customHeight="1">
      <c r="A119" s="56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34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5"/>
    </row>
    <row r="120" ht="19.5" customHeight="1">
      <c r="A120" s="56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34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5"/>
    </row>
    <row r="121" ht="19.5" customHeight="1">
      <c r="A121" s="56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34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5"/>
    </row>
    <row r="122" ht="19.5" customHeight="1">
      <c r="A122" s="56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34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5"/>
    </row>
    <row r="123" ht="19.5" customHeight="1">
      <c r="A123" s="56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34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5"/>
    </row>
    <row r="124" ht="19.5" customHeight="1">
      <c r="A124" s="56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34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5"/>
    </row>
    <row r="125" ht="19.5" customHeight="1">
      <c r="A125" s="56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34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5"/>
    </row>
    <row r="126" ht="19.5" customHeight="1">
      <c r="A126" s="56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34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5"/>
    </row>
    <row r="127" ht="19.5" customHeight="1">
      <c r="A127" s="56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34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5"/>
    </row>
    <row r="128" ht="19.5" customHeight="1">
      <c r="A128" s="59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1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2"/>
    </row>
  </sheetData>
  <printOptions headings="0" gridLines="0"/>
  <pageMargins left="0.5" right="0.5" top="0.75" bottom="0.75" header="0" footer="0"/>
  <pageSetup paperSize="9" scale="72" firstPageNumber="1" fitToWidth="1" fitToHeight="1" pageOrder="downThenOver" orientation="portrait" usePrinterDefaults="1" blackAndWhite="0" draft="0" cellComments="none" useFirstPageNumber="0" errors="displayed" horizontalDpi="600" verticalDpi="600" copies="1"/>
  <headerFooter>
    <oddFooter>&amp;C&amp;"Calibri,Regular"&amp;10&amp;K000000000000&amp;P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4</cp:revision>
  <dcterms:modified xsi:type="dcterms:W3CDTF">2026-09-14T09:09:32Z</dcterms:modified>
</cp:coreProperties>
</file>